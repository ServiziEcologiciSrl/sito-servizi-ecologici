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ppresentanti\Desktop\"/>
    </mc:Choice>
  </mc:AlternateContent>
  <xr:revisionPtr revIDLastSave="0" documentId="8_{C4E20F15-CEE1-48D7-8479-76C4591E92D1}" xr6:coauthVersionLast="47" xr6:coauthVersionMax="47" xr10:uidLastSave="{00000000-0000-0000-0000-000000000000}"/>
  <bookViews>
    <workbookView xWindow="7140" yWindow="2115" windowWidth="21600" windowHeight="11385" tabRatio="730" activeTab="4" xr2:uid="{00000000-000D-0000-FFFF-FFFF00000000}"/>
  </bookViews>
  <sheets>
    <sheet name="Trasporto" sheetId="3" r:id="rId1"/>
    <sheet name="Trasporto (COSTI)" sheetId="30" r:id="rId2"/>
    <sheet name="Spurghi - vhs" sheetId="12" r:id="rId3"/>
    <sheet name="Spurghi - vhs (COSTI)" sheetId="27" r:id="rId4"/>
    <sheet name="Analisi" sheetId="14" r:id="rId5"/>
    <sheet name="Analisi (COSTI)" sheetId="34" r:id="rId6"/>
    <sheet name="Canne Fumarie" sheetId="26" r:id="rId7"/>
    <sheet name="Canne Fumarie (COSTI)" sheetId="29" r:id="rId8"/>
    <sheet name="Amianto" sheetId="13" r:id="rId9"/>
    <sheet name="Serbatoi" sheetId="16" r:id="rId10"/>
    <sheet name="Foglio1" sheetId="37" r:id="rId11"/>
    <sheet name="Serbatoi (COSTI)" sheetId="31" r:id="rId12"/>
    <sheet name="Derattiz. - Disinf." sheetId="18" r:id="rId13"/>
    <sheet name="Derattiz. - Disinf. (COSTI)" sheetId="28" r:id="rId14"/>
    <sheet name="Rifiuti" sheetId="20" r:id="rId15"/>
    <sheet name="Barche" sheetId="22" r:id="rId16"/>
    <sheet name="Barche (COSTI)" sheetId="32" r:id="rId17"/>
    <sheet name="Linea Vita - Graffiti" sheetId="23" r:id="rId18"/>
    <sheet name="Graffiti (COSTI)" sheetId="33" r:id="rId19"/>
    <sheet name="STRAORDINARI" sheetId="35" r:id="rId20"/>
    <sheet name="CLIENTI PARTICOLARI" sheetId="36" r:id="rId21"/>
  </sheets>
  <definedNames>
    <definedName name="_xlnm.Print_Area" localSheetId="8">Amianto!$A$1:$D$29</definedName>
    <definedName name="_xlnm.Print_Area" localSheetId="4">Analisi!$A$1:$C$27</definedName>
    <definedName name="_xlnm.Print_Area" localSheetId="5">'Analisi (COSTI)'!$A$1:$D$158</definedName>
    <definedName name="_xlnm.Print_Area" localSheetId="15">Barche!$A$1:$B$21</definedName>
    <definedName name="_xlnm.Print_Area" localSheetId="16">'Barche (COSTI)'!$A$1:$C$20</definedName>
    <definedName name="_xlnm.Print_Area" localSheetId="6">'Canne Fumarie'!$A$1:$D$13</definedName>
    <definedName name="_xlnm.Print_Area" localSheetId="7">'Canne Fumarie (COSTI)'!$A$1:$C$1</definedName>
    <definedName name="_xlnm.Print_Area" localSheetId="20">'CLIENTI PARTICOLARI'!$A$1:$C$58</definedName>
    <definedName name="_xlnm.Print_Area" localSheetId="12">'Derattiz. - Disinf.'!$A$1:$D$21</definedName>
    <definedName name="_xlnm.Print_Area" localSheetId="13">'Derattiz. - Disinf. (COSTI)'!$A$1:$C$67</definedName>
    <definedName name="_xlnm.Print_Area" localSheetId="18">'Graffiti (COSTI)'!$A$1:$C$18</definedName>
    <definedName name="_xlnm.Print_Area" localSheetId="17">'Linea Vita - Graffiti'!$A$1:$B$10</definedName>
    <definedName name="_xlnm.Print_Area" localSheetId="14">Rifiuti!$A$1:$D$44</definedName>
    <definedName name="_xlnm.Print_Area" localSheetId="9">Serbatoi!$A$1:$D$38</definedName>
    <definedName name="_xlnm.Print_Area" localSheetId="11">'Serbatoi (COSTI)'!$A$1:$C$43</definedName>
    <definedName name="_xlnm.Print_Area" localSheetId="2">'Spurghi - vhs'!$A$1:$C$26</definedName>
    <definedName name="_xlnm.Print_Area" localSheetId="3">'Spurghi - vhs (COSTI)'!$A$1:$L$119</definedName>
    <definedName name="_xlnm.Print_Area" localSheetId="19">STRAORDINARI!$A$1:$C$16</definedName>
    <definedName name="_xlnm.Print_Area" localSheetId="0">Trasporto!$A$1:$D$37</definedName>
    <definedName name="_xlnm.Print_Area" localSheetId="1">'Trasporto (COSTI)'!$A$1:$E$102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8" l="1"/>
  <c r="E16" i="36"/>
  <c r="F16" i="36" s="1"/>
  <c r="E15" i="36"/>
  <c r="F15" i="36" s="1"/>
  <c r="J16" i="36"/>
  <c r="J15" i="36"/>
  <c r="E14" i="36"/>
  <c r="F14" i="36" s="1"/>
  <c r="J14" i="36"/>
  <c r="E13" i="36"/>
  <c r="F13" i="36" s="1"/>
  <c r="J13" i="36"/>
  <c r="E12" i="36"/>
  <c r="F12" i="36" s="1"/>
  <c r="J12" i="36" l="1"/>
  <c r="E11" i="36" l="1"/>
  <c r="F11" i="36" s="1"/>
  <c r="J11" i="36"/>
  <c r="I11" i="36"/>
  <c r="H9" i="36"/>
  <c r="H11" i="36" l="1"/>
  <c r="H12" i="36" s="1"/>
  <c r="L12" i="36" s="1"/>
  <c r="H16" i="36"/>
  <c r="L16" i="36" s="1"/>
  <c r="H14" i="36"/>
  <c r="L14" i="36" s="1"/>
  <c r="H15" i="36"/>
  <c r="L15" i="36" s="1"/>
  <c r="H13" i="36"/>
  <c r="L13" i="36" s="1"/>
  <c r="G91" i="27"/>
  <c r="G88" i="27"/>
  <c r="H86" i="27"/>
  <c r="G97" i="27"/>
  <c r="G90" i="27"/>
  <c r="G89" i="27"/>
  <c r="G87" i="27"/>
  <c r="H103" i="27"/>
  <c r="G105" i="27"/>
  <c r="G108" i="27"/>
  <c r="L11" i="36" l="1"/>
  <c r="M11" i="36" s="1"/>
  <c r="G93" i="27"/>
  <c r="M15" i="36"/>
  <c r="O15" i="36" s="1"/>
  <c r="M14" i="36"/>
  <c r="O14" i="36" s="1"/>
  <c r="M16" i="36"/>
  <c r="O16" i="36" s="1"/>
  <c r="M13" i="36"/>
  <c r="O13" i="36" s="1"/>
  <c r="M12" i="36"/>
  <c r="O12" i="36" s="1"/>
  <c r="O11" i="36"/>
  <c r="G95" i="27"/>
  <c r="G94" i="27"/>
  <c r="G96" i="27" s="1"/>
  <c r="G99" i="27" s="1"/>
  <c r="G102" i="27" s="1"/>
  <c r="B52" i="28"/>
  <c r="E85" i="30"/>
  <c r="B88" i="30"/>
  <c r="D88" i="30"/>
  <c r="D87" i="30"/>
  <c r="B86" i="30"/>
  <c r="C85" i="30"/>
  <c r="G104" i="27"/>
  <c r="B104" i="27"/>
  <c r="C3" i="29"/>
  <c r="C49" i="27"/>
  <c r="C48" i="27"/>
  <c r="B49" i="27"/>
  <c r="B48" i="27"/>
  <c r="C103" i="27"/>
  <c r="G100" i="27" l="1"/>
  <c r="B114" i="27"/>
  <c r="G114" i="27"/>
  <c r="B57" i="28" l="1"/>
  <c r="B34" i="28"/>
  <c r="B29" i="28"/>
  <c r="B13" i="28"/>
  <c r="B8" i="28"/>
  <c r="B16" i="31"/>
  <c r="B140" i="34"/>
  <c r="B136" i="34"/>
  <c r="B127" i="34"/>
  <c r="B123" i="34"/>
  <c r="B114" i="34"/>
  <c r="B110" i="34"/>
  <c r="B101" i="34"/>
  <c r="B97" i="34"/>
  <c r="B88" i="34"/>
  <c r="B84" i="34"/>
  <c r="B75" i="34"/>
  <c r="B71" i="34"/>
  <c r="B62" i="34"/>
  <c r="B58" i="34"/>
  <c r="B49" i="34"/>
  <c r="B45" i="34"/>
  <c r="B47" i="34" s="1"/>
  <c r="B36" i="34"/>
  <c r="B32" i="34"/>
  <c r="B23" i="34"/>
  <c r="B19" i="34"/>
  <c r="B10" i="34"/>
  <c r="B6" i="34"/>
  <c r="B8" i="34" s="1"/>
  <c r="B96" i="27"/>
  <c r="B69" i="27"/>
  <c r="B67" i="27"/>
  <c r="G28" i="27"/>
  <c r="G26" i="27"/>
  <c r="B28" i="27"/>
  <c r="B26" i="27"/>
  <c r="D90" i="30"/>
  <c r="D76" i="30"/>
  <c r="D74" i="30"/>
  <c r="D36" i="30"/>
  <c r="B36" i="30"/>
  <c r="D91" i="30" l="1"/>
  <c r="D92" i="30"/>
  <c r="B138" i="34"/>
  <c r="B137" i="34"/>
  <c r="B124" i="34"/>
  <c r="B125" i="34"/>
  <c r="B126" i="34" s="1"/>
  <c r="B129" i="34" s="1"/>
  <c r="B111" i="34"/>
  <c r="B112" i="34"/>
  <c r="B98" i="34"/>
  <c r="B99" i="34"/>
  <c r="B86" i="34"/>
  <c r="B85" i="34"/>
  <c r="B72" i="34"/>
  <c r="B73" i="34"/>
  <c r="B59" i="34"/>
  <c r="B60" i="34"/>
  <c r="B7" i="34"/>
  <c r="B9" i="34" s="1"/>
  <c r="B12" i="34" s="1"/>
  <c r="B46" i="34"/>
  <c r="B48" i="34" s="1"/>
  <c r="B51" i="34" s="1"/>
  <c r="B33" i="34"/>
  <c r="B34" i="34"/>
  <c r="B20" i="34"/>
  <c r="B21" i="34"/>
  <c r="D14" i="30"/>
  <c r="B14" i="30"/>
  <c r="B28" i="29"/>
  <c r="B11" i="29"/>
  <c r="B6" i="29"/>
  <c r="D94" i="30" l="1"/>
  <c r="B139" i="34"/>
  <c r="B142" i="34" s="1"/>
  <c r="B145" i="34" s="1"/>
  <c r="B132" i="34"/>
  <c r="B130" i="34"/>
  <c r="B113" i="34"/>
  <c r="B116" i="34" s="1"/>
  <c r="B119" i="34" s="1"/>
  <c r="B87" i="34"/>
  <c r="B90" i="34" s="1"/>
  <c r="B93" i="34" s="1"/>
  <c r="B100" i="34"/>
  <c r="B103" i="34" s="1"/>
  <c r="B106" i="34" s="1"/>
  <c r="B74" i="34"/>
  <c r="B77" i="34" s="1"/>
  <c r="B78" i="34" s="1"/>
  <c r="B35" i="34"/>
  <c r="B38" i="34" s="1"/>
  <c r="B41" i="34" s="1"/>
  <c r="B13" i="34"/>
  <c r="B15" i="34"/>
  <c r="B61" i="34"/>
  <c r="B64" i="34" s="1"/>
  <c r="B65" i="34" s="1"/>
  <c r="B52" i="34"/>
  <c r="B54" i="34"/>
  <c r="B22" i="34"/>
  <c r="B25" i="34" s="1"/>
  <c r="B28" i="34" s="1"/>
  <c r="B91" i="34" l="1"/>
  <c r="B143" i="34"/>
  <c r="B117" i="34"/>
  <c r="B80" i="34"/>
  <c r="B104" i="34"/>
  <c r="B67" i="34"/>
  <c r="B39" i="34"/>
  <c r="B26" i="34"/>
  <c r="B48" i="33"/>
  <c r="B47" i="33"/>
  <c r="B44" i="33"/>
  <c r="B50" i="33"/>
  <c r="B49" i="33"/>
  <c r="B45" i="33"/>
  <c r="B42" i="33"/>
  <c r="B22" i="29"/>
  <c r="B21" i="29"/>
  <c r="B51" i="28"/>
  <c r="B50" i="28"/>
  <c r="D95" i="30"/>
  <c r="D97" i="30" s="1"/>
  <c r="B95" i="30"/>
  <c r="B24" i="29" l="1"/>
  <c r="D101" i="30"/>
  <c r="D99" i="30"/>
  <c r="B25" i="29"/>
  <c r="B26" i="29"/>
  <c r="B51" i="33"/>
  <c r="B52" i="33" s="1"/>
  <c r="B11" i="32"/>
  <c r="B9" i="32"/>
  <c r="B106" i="27" l="1"/>
  <c r="G106" i="27"/>
  <c r="B27" i="29" l="1"/>
  <c r="B30" i="29" s="1"/>
  <c r="E21" i="33"/>
  <c r="E22" i="33"/>
  <c r="E23" i="33"/>
  <c r="E24" i="33"/>
  <c r="E25" i="33"/>
  <c r="E26" i="33"/>
  <c r="E27" i="33"/>
  <c r="E28" i="33"/>
  <c r="E29" i="33"/>
  <c r="E30" i="33"/>
  <c r="F32" i="33"/>
  <c r="G32" i="33"/>
  <c r="G34" i="33" s="1"/>
  <c r="H32" i="33"/>
  <c r="H34" i="33" s="1"/>
  <c r="F33" i="33"/>
  <c r="F34" i="33" s="1"/>
  <c r="G6" i="27"/>
  <c r="G7" i="27"/>
  <c r="G8" i="27"/>
  <c r="G9" i="27"/>
  <c r="G10" i="27"/>
  <c r="G11" i="27"/>
  <c r="G12" i="27"/>
  <c r="G13" i="27"/>
  <c r="D52" i="30"/>
  <c r="B52" i="30"/>
  <c r="E48" i="30"/>
  <c r="D59" i="30" s="1"/>
  <c r="C47" i="30"/>
  <c r="B59" i="30" s="1"/>
  <c r="D51" i="30"/>
  <c r="B51" i="30"/>
  <c r="D50" i="30"/>
  <c r="B49" i="30"/>
  <c r="D28" i="30"/>
  <c r="B28" i="30"/>
  <c r="D29" i="30"/>
  <c r="B29" i="30"/>
  <c r="D27" i="30"/>
  <c r="B26" i="30"/>
  <c r="D54" i="30" l="1"/>
  <c r="G16" i="27"/>
  <c r="B33" i="29"/>
  <c r="B31" i="29"/>
  <c r="G15" i="27"/>
  <c r="G14" i="27"/>
  <c r="D56" i="30"/>
  <c r="D55" i="30"/>
  <c r="B30" i="30"/>
  <c r="B32" i="30" s="1"/>
  <c r="D31" i="30"/>
  <c r="D33" i="30" s="1"/>
  <c r="E32" i="33"/>
  <c r="E33" i="33" s="1"/>
  <c r="E34" i="33" s="1"/>
  <c r="B13" i="33" s="1"/>
  <c r="B53" i="30"/>
  <c r="B15" i="33"/>
  <c r="B14" i="33"/>
  <c r="B12" i="33"/>
  <c r="B11" i="33"/>
  <c r="B10" i="33"/>
  <c r="B9" i="33"/>
  <c r="B8" i="33"/>
  <c r="B7" i="33"/>
  <c r="B7" i="31"/>
  <c r="B7" i="32"/>
  <c r="G20" i="27" l="1"/>
  <c r="G19" i="27"/>
  <c r="G18" i="27"/>
  <c r="G17" i="27"/>
  <c r="G21" i="27"/>
  <c r="G22" i="27"/>
  <c r="B56" i="30"/>
  <c r="B55" i="30"/>
  <c r="B33" i="30"/>
  <c r="B34" i="30" s="1"/>
  <c r="B38" i="30" s="1"/>
  <c r="D32" i="30"/>
  <c r="D35" i="30" s="1"/>
  <c r="D38" i="30" s="1"/>
  <c r="B10" i="32"/>
  <c r="B12" i="32" s="1"/>
  <c r="B14" i="32" l="1"/>
  <c r="B13" i="32"/>
  <c r="B15" i="32" s="1"/>
  <c r="G25" i="27"/>
  <c r="G32" i="27" s="1"/>
  <c r="G35" i="27" s="1"/>
  <c r="G23" i="27"/>
  <c r="G30" i="27" s="1"/>
  <c r="G33" i="27" s="1"/>
  <c r="G24" i="27"/>
  <c r="G31" i="27" s="1"/>
  <c r="G34" i="27" s="1"/>
  <c r="B39" i="30"/>
  <c r="B42" i="30"/>
  <c r="B57" i="30"/>
  <c r="B61" i="30" s="1"/>
  <c r="D58" i="30"/>
  <c r="D61" i="30" s="1"/>
  <c r="B16" i="33"/>
  <c r="B17" i="33" s="1"/>
  <c r="C6" i="32"/>
  <c r="B48" i="28"/>
  <c r="B28" i="28"/>
  <c r="B7" i="28"/>
  <c r="B47" i="28"/>
  <c r="B27" i="28"/>
  <c r="B33" i="31"/>
  <c r="C27" i="31"/>
  <c r="B32" i="31"/>
  <c r="B31" i="31"/>
  <c r="B30" i="31"/>
  <c r="B29" i="31"/>
  <c r="B28" i="31"/>
  <c r="B8" i="31"/>
  <c r="B10" i="31"/>
  <c r="B9" i="31"/>
  <c r="G107" i="27"/>
  <c r="G110" i="27" s="1"/>
  <c r="B108" i="27"/>
  <c r="B107" i="27"/>
  <c r="B105" i="27"/>
  <c r="B91" i="27"/>
  <c r="B90" i="27"/>
  <c r="B89" i="27"/>
  <c r="B45" i="27"/>
  <c r="B46" i="27"/>
  <c r="B88" i="27"/>
  <c r="B87" i="27"/>
  <c r="B110" i="27" l="1"/>
  <c r="G37" i="27"/>
  <c r="B34" i="31"/>
  <c r="B36" i="31" s="1"/>
  <c r="B35" i="31"/>
  <c r="B38" i="31"/>
  <c r="G39" i="27"/>
  <c r="B16" i="32"/>
  <c r="B18" i="32" s="1"/>
  <c r="B21" i="32" s="1"/>
  <c r="B112" i="27"/>
  <c r="B111" i="27"/>
  <c r="G112" i="27"/>
  <c r="G111" i="27"/>
  <c r="B30" i="28"/>
  <c r="B31" i="28" s="1"/>
  <c r="B53" i="28"/>
  <c r="B12" i="31"/>
  <c r="B92" i="27"/>
  <c r="G38" i="27"/>
  <c r="D65" i="30"/>
  <c r="D63" i="30"/>
  <c r="B65" i="30"/>
  <c r="B62" i="30"/>
  <c r="D40" i="30"/>
  <c r="D42" i="30"/>
  <c r="B5" i="29"/>
  <c r="B4" i="29"/>
  <c r="B37" i="31" l="1"/>
  <c r="B40" i="31" s="1"/>
  <c r="B43" i="31"/>
  <c r="B41" i="31"/>
  <c r="B32" i="28"/>
  <c r="B33" i="28" s="1"/>
  <c r="B36" i="28" s="1"/>
  <c r="B113" i="27"/>
  <c r="B116" i="27" s="1"/>
  <c r="B119" i="27" s="1"/>
  <c r="B19" i="32"/>
  <c r="G113" i="27"/>
  <c r="G116" i="27" s="1"/>
  <c r="G119" i="27" s="1"/>
  <c r="G117" i="27"/>
  <c r="B55" i="28"/>
  <c r="B54" i="28"/>
  <c r="B13" i="31"/>
  <c r="B14" i="31"/>
  <c r="B15" i="31" s="1"/>
  <c r="B18" i="31" s="1"/>
  <c r="B19" i="31" s="1"/>
  <c r="B94" i="27"/>
  <c r="B93" i="27"/>
  <c r="B7" i="29"/>
  <c r="D70" i="30"/>
  <c r="D71" i="30"/>
  <c r="B5" i="28"/>
  <c r="D7" i="30"/>
  <c r="B7" i="30"/>
  <c r="D6" i="30"/>
  <c r="B5" i="30"/>
  <c r="B117" i="27" l="1"/>
  <c r="B40" i="28"/>
  <c r="B42" i="28" s="1"/>
  <c r="B37" i="28"/>
  <c r="B41" i="28"/>
  <c r="B43" i="28" s="1"/>
  <c r="B39" i="28"/>
  <c r="B95" i="27"/>
  <c r="B98" i="27" s="1"/>
  <c r="B99" i="27" s="1"/>
  <c r="B56" i="28"/>
  <c r="B59" i="28" s="1"/>
  <c r="B101" i="27"/>
  <c r="B21" i="31"/>
  <c r="D9" i="30"/>
  <c r="D11" i="30" s="1"/>
  <c r="B8" i="30"/>
  <c r="D72" i="30"/>
  <c r="D73" i="30" s="1"/>
  <c r="B89" i="30"/>
  <c r="B47" i="27"/>
  <c r="B42" i="27"/>
  <c r="B6" i="27"/>
  <c r="B44" i="27"/>
  <c r="B43" i="27"/>
  <c r="B62" i="28" l="1"/>
  <c r="B64" i="28"/>
  <c r="B66" i="28" s="1"/>
  <c r="B63" i="28"/>
  <c r="B65" i="28" s="1"/>
  <c r="B60" i="28"/>
  <c r="B91" i="30"/>
  <c r="B92" i="30"/>
  <c r="B52" i="27"/>
  <c r="B51" i="27"/>
  <c r="B54" i="27"/>
  <c r="B53" i="27"/>
  <c r="D10" i="30"/>
  <c r="D13" i="30" s="1"/>
  <c r="D16" i="30" s="1"/>
  <c r="B11" i="30"/>
  <c r="B10" i="30"/>
  <c r="B9" i="29"/>
  <c r="B8" i="29"/>
  <c r="D75" i="30"/>
  <c r="D78" i="30" s="1"/>
  <c r="B12" i="27"/>
  <c r="B9" i="27"/>
  <c r="B93" i="30" l="1"/>
  <c r="B60" i="27"/>
  <c r="B59" i="27"/>
  <c r="B62" i="27"/>
  <c r="B61" i="27"/>
  <c r="B58" i="27"/>
  <c r="B57" i="27"/>
  <c r="B56" i="27"/>
  <c r="B55" i="27"/>
  <c r="D81" i="30"/>
  <c r="D79" i="30"/>
  <c r="B97" i="30"/>
  <c r="B12" i="30"/>
  <c r="D20" i="30"/>
  <c r="D18" i="30"/>
  <c r="B10" i="29"/>
  <c r="B13" i="29" s="1"/>
  <c r="B8" i="27"/>
  <c r="B7" i="27"/>
  <c r="B13" i="27"/>
  <c r="B16" i="27" s="1"/>
  <c r="B11" i="27"/>
  <c r="B10" i="27"/>
  <c r="B16" i="30" l="1"/>
  <c r="B20" i="30" s="1"/>
  <c r="B98" i="30"/>
  <c r="B101" i="30"/>
  <c r="B65" i="27"/>
  <c r="B73" i="27" s="1"/>
  <c r="B82" i="27" s="1"/>
  <c r="B66" i="27"/>
  <c r="B74" i="27" s="1"/>
  <c r="B83" i="27" s="1"/>
  <c r="B63" i="27"/>
  <c r="B71" i="27"/>
  <c r="B64" i="27"/>
  <c r="B72" i="27" s="1"/>
  <c r="B22" i="27"/>
  <c r="B21" i="27"/>
  <c r="B14" i="27"/>
  <c r="B15" i="27"/>
  <c r="B17" i="30"/>
  <c r="B16" i="29"/>
  <c r="B14" i="29"/>
  <c r="B6" i="28"/>
  <c r="B78" i="27" l="1"/>
  <c r="B77" i="27"/>
  <c r="B9" i="28"/>
  <c r="B81" i="27"/>
  <c r="B76" i="27"/>
  <c r="B80" i="27"/>
  <c r="B75" i="27"/>
  <c r="B25" i="27"/>
  <c r="B32" i="27" s="1"/>
  <c r="B39" i="27" s="1"/>
  <c r="B18" i="27"/>
  <c r="B17" i="27"/>
  <c r="B19" i="27"/>
  <c r="B20" i="27"/>
  <c r="B35" i="27" l="1"/>
  <c r="B11" i="28"/>
  <c r="B10" i="28"/>
  <c r="B23" i="27"/>
  <c r="B30" i="27" s="1"/>
  <c r="B33" i="27" s="1"/>
  <c r="B24" i="27"/>
  <c r="B31" i="27" s="1"/>
  <c r="B12" i="28" l="1"/>
  <c r="B15" i="28" s="1"/>
  <c r="B37" i="27"/>
  <c r="B34" i="27"/>
  <c r="B38" i="27"/>
  <c r="B16" i="28" l="1"/>
  <c r="B20" i="28"/>
  <c r="B22" i="28" s="1"/>
  <c r="B19" i="28"/>
  <c r="B21" i="28" s="1"/>
  <c r="B18" i="28"/>
</calcChain>
</file>

<file path=xl/sharedStrings.xml><?xml version="1.0" encoding="utf-8"?>
<sst xmlns="http://schemas.openxmlformats.org/spreadsheetml/2006/main" count="1265" uniqueCount="630">
  <si>
    <t>TRASPORTI</t>
  </si>
  <si>
    <t>SCARRABILE GRANDE</t>
  </si>
  <si>
    <t>Spotorno</t>
  </si>
  <si>
    <t>Vado Ligure</t>
  </si>
  <si>
    <t>Borgio Verezzi</t>
  </si>
  <si>
    <t>Pietra Ligure</t>
  </si>
  <si>
    <t>Finale Ligure-Varigotti</t>
  </si>
  <si>
    <t xml:space="preserve">Savona-Albissola-Varazze </t>
  </si>
  <si>
    <t>Loano-Borghetto S.S.</t>
  </si>
  <si>
    <t xml:space="preserve">Videoispezione con furgone minimo fatturabile h 3 </t>
  </si>
  <si>
    <t>ANALISI</t>
  </si>
  <si>
    <t>AMIANTO</t>
  </si>
  <si>
    <t>SCARRABILE PICCOLO (120)</t>
  </si>
  <si>
    <t>CARICO CON GRU</t>
  </si>
  <si>
    <t>Imperia</t>
  </si>
  <si>
    <t>Ventimiglia</t>
  </si>
  <si>
    <t>Finale Ligure-Varigotti- Spotorno</t>
  </si>
  <si>
    <t>Vado Ligure - Savona</t>
  </si>
  <si>
    <t xml:space="preserve">Albissola-Varazze </t>
  </si>
  <si>
    <t>Arenzano - Genova</t>
  </si>
  <si>
    <t>Borgio Verezzi - Pietra Ligure</t>
  </si>
  <si>
    <t>Loano-Borghetto S.S. - Ceriale</t>
  </si>
  <si>
    <t>Alassio - Laigueglia - Andora</t>
  </si>
  <si>
    <t>dopo la I° ora</t>
  </si>
  <si>
    <t>Ragno con Gru dopo la I° ora di sosta</t>
  </si>
  <si>
    <t>ORE DI SOSTA</t>
  </si>
  <si>
    <t>Noleggio cassone giornaliero</t>
  </si>
  <si>
    <t>Noleggio cassone mensile</t>
  </si>
  <si>
    <t>Big bags</t>
  </si>
  <si>
    <t>PARTENZA FINALE LIGURE</t>
  </si>
  <si>
    <t>AUTO SPURGHI - VIDEOISPEZIONI</t>
  </si>
  <si>
    <r>
      <rPr>
        <b/>
        <sz val="12"/>
        <rFont val="Arial"/>
        <family val="2"/>
      </rPr>
      <t>ISPEZIONI TELEVISIVE</t>
    </r>
    <r>
      <rPr>
        <sz val="12"/>
        <rFont val="Arial"/>
        <family val="2"/>
      </rPr>
      <t xml:space="preserve"> con canal jet minimo fatturabile h 3 partenza arrivo ns/ deposito</t>
    </r>
  </si>
  <si>
    <t>Censimento amianto compatto (prima pratica)</t>
  </si>
  <si>
    <t>Censimento amianto friabile (prima pratica)</t>
  </si>
  <si>
    <t>Aggiornamento censimento amianto compatto/friabile</t>
  </si>
  <si>
    <t>Parere tecnico su manufatto compatto</t>
  </si>
  <si>
    <t>Parere tecnico su manufatto friabile</t>
  </si>
  <si>
    <t>Perizia redatta da consulente iscritto all'Albo Regionale</t>
  </si>
  <si>
    <t>RIMOZIONE</t>
  </si>
  <si>
    <t>INCAPSULAMENTO</t>
  </si>
  <si>
    <r>
      <t>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100</t>
    </r>
  </si>
  <si>
    <r>
      <t>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200</t>
    </r>
  </si>
  <si>
    <r>
      <t>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300</t>
    </r>
  </si>
  <si>
    <r>
      <t>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400</t>
    </r>
  </si>
  <si>
    <r>
      <t>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500</t>
    </r>
  </si>
  <si>
    <r>
      <t>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600</t>
    </r>
  </si>
  <si>
    <r>
      <t>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700</t>
    </r>
  </si>
  <si>
    <r>
      <t>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800</t>
    </r>
  </si>
  <si>
    <r>
      <t>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900</t>
    </r>
  </si>
  <si>
    <r>
      <t>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1000</t>
    </r>
  </si>
  <si>
    <r>
      <t>/m</t>
    </r>
    <r>
      <rPr>
        <vertAlign val="superscript"/>
        <sz val="10"/>
        <rFont val="Arial"/>
        <family val="2"/>
      </rPr>
      <t>2</t>
    </r>
  </si>
  <si>
    <t>prezzi validi per lastre di dimensioni maggiori di 80 cm x 60 cm circa</t>
  </si>
  <si>
    <t>FRANCESINE</t>
  </si>
  <si>
    <r>
      <t xml:space="preserve"> + € 2,00/m</t>
    </r>
    <r>
      <rPr>
        <vertAlign val="superscript"/>
        <sz val="10"/>
        <rFont val="Arial"/>
        <family val="2"/>
      </rPr>
      <t>2</t>
    </r>
  </si>
  <si>
    <t>/pratica</t>
  </si>
  <si>
    <t>/parere</t>
  </si>
  <si>
    <t>/perizia</t>
  </si>
  <si>
    <r>
      <t xml:space="preserve"> &gt; 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1000</t>
    </r>
  </si>
  <si>
    <t>PULIZIA SERBATOI</t>
  </si>
  <si>
    <t>PULIZIA INTERNA</t>
  </si>
  <si>
    <t>PROVA PRESSIONE</t>
  </si>
  <si>
    <t>per le cisterne contenenti olio combustibile sarà da verificare la capacità e lo stato del prodotto</t>
  </si>
  <si>
    <t>INERTIZZAZIONE SERBATOI</t>
  </si>
  <si>
    <r>
      <t>/m</t>
    </r>
    <r>
      <rPr>
        <vertAlign val="superscript"/>
        <sz val="10"/>
        <rFont val="Arial"/>
        <family val="2"/>
      </rPr>
      <t>3</t>
    </r>
  </si>
  <si>
    <t xml:space="preserve">ghiaia </t>
  </si>
  <si>
    <t>argilla espansa</t>
  </si>
  <si>
    <t>calcestruzzo</t>
  </si>
  <si>
    <t>da concordare</t>
  </si>
  <si>
    <t>CAPACITA'</t>
  </si>
  <si>
    <r>
      <t>3 m</t>
    </r>
    <r>
      <rPr>
        <vertAlign val="superscript"/>
        <sz val="10"/>
        <rFont val="Arial"/>
        <family val="2"/>
      </rPr>
      <t>3</t>
    </r>
  </si>
  <si>
    <r>
      <t>12 m</t>
    </r>
    <r>
      <rPr>
        <vertAlign val="superscript"/>
        <sz val="10"/>
        <rFont val="Arial"/>
        <family val="2"/>
      </rPr>
      <t>3</t>
    </r>
  </si>
  <si>
    <r>
      <t>15 m</t>
    </r>
    <r>
      <rPr>
        <vertAlign val="superscript"/>
        <sz val="10"/>
        <rFont val="Arial"/>
        <family val="2"/>
      </rPr>
      <t>3</t>
    </r>
  </si>
  <si>
    <t>DERATTIZZAZIONE</t>
  </si>
  <si>
    <t>Distributori di esche</t>
  </si>
  <si>
    <t>Grandi</t>
  </si>
  <si>
    <t>Piccoli</t>
  </si>
  <si>
    <t>/cadauno</t>
  </si>
  <si>
    <t>CONDOMINI</t>
  </si>
  <si>
    <t>Parti comuni</t>
  </si>
  <si>
    <t>DISINFESTAZIONE</t>
  </si>
  <si>
    <t>ATOMIZZATORE</t>
  </si>
  <si>
    <t>1/2 giornata</t>
  </si>
  <si>
    <t>1 giornata</t>
  </si>
  <si>
    <t>SMALTIMENTO RIFIUTI</t>
  </si>
  <si>
    <t>C.E.R.</t>
  </si>
  <si>
    <t>13 08 02* (altre emulsioni)</t>
  </si>
  <si>
    <t>15 01 01 (imballaggi in carta e cartone)</t>
  </si>
  <si>
    <t>15 01 02 (imballaggi in plastica)</t>
  </si>
  <si>
    <t>15 01 06 (imballaggi in materiali misti)</t>
  </si>
  <si>
    <t>16 01 07* (filtri dell’olio)</t>
  </si>
  <si>
    <t>16 02 14 (apparecchiature fuori uso, non pericolosi)</t>
  </si>
  <si>
    <t>16 06 01* (batterie al piombo)</t>
  </si>
  <si>
    <t>16 07 08* (rifiuti contenenti olio)</t>
  </si>
  <si>
    <t>17 02 01 (legno)</t>
  </si>
  <si>
    <t>17 04 05 (ferro e acciaio)</t>
  </si>
  <si>
    <t>17 05 04 (terra e rocce da scavo)</t>
  </si>
  <si>
    <t>17 06 04 (materiali isolanti non pericolosi)</t>
  </si>
  <si>
    <t>17 08 02 (materiali da costruzione a base di gesso)</t>
  </si>
  <si>
    <t>20 01 02 (vetro)</t>
  </si>
  <si>
    <t>20 02 01 (rifiuti biodegradabili)</t>
  </si>
  <si>
    <t>BONIFICA CASSE</t>
  </si>
  <si>
    <t>Pulizia e lavaggio casse acque grigie e nere:</t>
  </si>
  <si>
    <t>I prezzi sono da considerarsi da partenza ad arrivo nostro deposito con un</t>
  </si>
  <si>
    <t xml:space="preserve">Sopralluogo, richiesta di documentazione relativa a pianta, sezione, specifica della struttura su cui ancorarsi, spessore della struttura e indicazione delle manutenzioni da eseguire sulle coperture a falde piane o inclinate. </t>
  </si>
  <si>
    <t>PULIZIA GRAFFITI</t>
  </si>
  <si>
    <t>/a viaggio</t>
  </si>
  <si>
    <t>cadauno</t>
  </si>
  <si>
    <t>/all'ora</t>
  </si>
  <si>
    <t>/a intervento</t>
  </si>
  <si>
    <t>/a relazione</t>
  </si>
  <si>
    <t xml:space="preserve">Relazione </t>
  </si>
  <si>
    <t>cadauna</t>
  </si>
  <si>
    <t>da quantificare previo sopralluogo</t>
  </si>
  <si>
    <t>se lastre centinate o di dimensioni maggiori di 300 cm - da valutare</t>
  </si>
  <si>
    <t>CEMENTAZIONE PASSO D'UOMO</t>
  </si>
  <si>
    <t>CASSONI PICCOLI (MC 1,5)</t>
  </si>
  <si>
    <t>€90,00/€120,00</t>
  </si>
  <si>
    <t>/a cassone</t>
  </si>
  <si>
    <t>Cisterna acqua minimo fatturabile  h 4</t>
  </si>
  <si>
    <t>/h</t>
  </si>
  <si>
    <t>18 01 03* (rifiuti che devono essere raccolti e smaltiti applicando
 precauzioni particolari per evitare infezioni)</t>
  </si>
  <si>
    <t>da Albissola ad Andora (compreso smaltimento)</t>
  </si>
  <si>
    <r>
      <t>dai 4 m</t>
    </r>
    <r>
      <rPr>
        <vertAlign val="superscript"/>
        <sz val="10"/>
        <rFont val="Arial"/>
        <family val="2"/>
      </rPr>
      <t xml:space="preserve">3 </t>
    </r>
    <r>
      <rPr>
        <sz val="10"/>
        <rFont val="Arial"/>
        <family val="2"/>
      </rPr>
      <t>ai 7 m</t>
    </r>
    <r>
      <rPr>
        <vertAlign val="superscript"/>
        <sz val="10"/>
        <rFont val="Arial"/>
        <family val="2"/>
      </rPr>
      <t>3</t>
    </r>
  </si>
  <si>
    <r>
      <t>dai 8 m</t>
    </r>
    <r>
      <rPr>
        <vertAlign val="superscript"/>
        <sz val="10"/>
        <rFont val="Arial"/>
        <family val="2"/>
      </rPr>
      <t xml:space="preserve">3 </t>
    </r>
    <r>
      <rPr>
        <sz val="10"/>
        <rFont val="Arial"/>
        <family val="2"/>
      </rPr>
      <t>ai 10 m</t>
    </r>
    <r>
      <rPr>
        <vertAlign val="superscript"/>
        <sz val="10"/>
        <rFont val="Arial"/>
        <family val="2"/>
      </rPr>
      <t>3</t>
    </r>
  </si>
  <si>
    <t>compreso 3 passaggi</t>
  </si>
  <si>
    <r>
      <t xml:space="preserve">RIMOZIONE NIDO DI VESPE
da valutarsi in seguito a sopralluogo: min </t>
    </r>
    <r>
      <rPr>
        <b/>
        <u/>
        <sz val="12"/>
        <rFont val="Calibri"/>
        <family val="2"/>
      </rPr>
      <t>→</t>
    </r>
  </si>
  <si>
    <t>€ 1,80/kg
m.f. € 200,00</t>
  </si>
  <si>
    <t>€ 0,54/kg
m.f. €100,00</t>
  </si>
  <si>
    <t>17 03 02 (miscele bituminose)-asfalto</t>
  </si>
  <si>
    <t>€ 0,80/kg
m.f. € 100,00</t>
  </si>
  <si>
    <t>07 06 12 (rifiuti da autolavaggio)</t>
  </si>
  <si>
    <t>€ 0,50/kg
m.f. € 100,00</t>
  </si>
  <si>
    <t>08 03 18 (toner)</t>
  </si>
  <si>
    <t>€ 1,40/kg
m.f. € 100,00</t>
  </si>
  <si>
    <t>€ 17,50/ton
m.f. € 50,00</t>
  </si>
  <si>
    <t>€ 0,15/kg
m.f. € 75,00</t>
  </si>
  <si>
    <t>€ 0,16/kg (L)
€ 0,22/kg (S)
m.f. € 50,00</t>
  </si>
  <si>
    <t>CANNE FUMARIE</t>
  </si>
  <si>
    <t>Pulizia/vhs (attività-pizzerie-ecc.)</t>
  </si>
  <si>
    <t>max 3 ore di intervento</t>
  </si>
  <si>
    <t>tariffa oraria oltre la 3° ora</t>
  </si>
  <si>
    <t>ESCLUSE EVENTUALI OPERE PROVVISIONALI (cestello, ponteggi, ecc.)</t>
  </si>
  <si>
    <t>SMALTIMENTO</t>
  </si>
  <si>
    <t>gasolio</t>
  </si>
  <si>
    <t>olio combustibile</t>
  </si>
  <si>
    <t>€ 0,38/kg</t>
  </si>
  <si>
    <t>€ 0,45/kg</t>
  </si>
  <si>
    <t>m.f. € 250</t>
  </si>
  <si>
    <t>m.f. € 300</t>
  </si>
  <si>
    <t>DISINFESTAZIONE+DERATTIZZAZIONE (almeno 10 condomini)</t>
  </si>
  <si>
    <r>
      <rPr>
        <b/>
        <sz val="12"/>
        <rFont val="Arial"/>
        <family val="2"/>
      </rPr>
      <t>PULIZIA RETE</t>
    </r>
    <r>
      <rPr>
        <sz val="12"/>
        <rFont val="Arial"/>
        <family val="2"/>
      </rPr>
      <t xml:space="preserve"> partenza-arrivo ns. deposito (m.f. 3 ore)</t>
    </r>
  </si>
  <si>
    <t>Pulizia/vhs privati (max 3 ore di intervento)</t>
  </si>
  <si>
    <t>PREZZO MAX</t>
  </si>
  <si>
    <t>15 01 03 (imballaggi in legno)</t>
  </si>
  <si>
    <t>17 02 03 (plastica)</t>
  </si>
  <si>
    <t>20 01 21* (tubi fluorescenti contenenti mercurio)</t>
  </si>
  <si>
    <t>€ 1,36/kg
m.f. € 200,00</t>
  </si>
  <si>
    <t>€ 0,99/kg
m.f. € 100,00</t>
  </si>
  <si>
    <t>€ 1,00/kg
m.f. € 200,00</t>
  </si>
  <si>
    <t>€ 0,15/kg
m.f. € 200,00</t>
  </si>
  <si>
    <t>€ 0,20/kg
m.f. € 200,00</t>
  </si>
  <si>
    <t>€ 0,18/kg
m.f. € 75,00</t>
  </si>
  <si>
    <t>€ 0,25/kg
m.f. € 75,00</t>
  </si>
  <si>
    <t>€ 0,40/kg
m.f. € 75,00</t>
  </si>
  <si>
    <t>€ 0,50/kg
m.f. € 75,00</t>
  </si>
  <si>
    <t>€ 0,41/kg
m.f. €100,00</t>
  </si>
  <si>
    <t>€ 0,38/kg
m.f. € 100,00</t>
  </si>
  <si>
    <t>DA VALUTARSI</t>
  </si>
  <si>
    <t>€ 16,00/ton
m.f. € 50,00</t>
  </si>
  <si>
    <t>€ 55,00/ton
m.f. € 50,00</t>
  </si>
  <si>
    <t>€ 46,00/ton
m.f. € 50,00</t>
  </si>
  <si>
    <t>€ 12,00/ton.
m.f. € 50,00</t>
  </si>
  <si>
    <t>€ 14,00/ton.
m.f. € 50,00</t>
  </si>
  <si>
    <t>17 06 01* (materiali da costruzione contenenti amianto)</t>
  </si>
  <si>
    <t>17 06 05 (amianto) - LASTRE</t>
  </si>
  <si>
    <t>17 06 05 (amianto) - VOLUMINOSO</t>
  </si>
  <si>
    <t>17 06 05 (amianto) - FRAMMENTI DI LASTRE</t>
  </si>
  <si>
    <t>€ 1,38/kg
m.f. € 200,00</t>
  </si>
  <si>
    <t>€ 1,60/kg
m.f. € 200,00</t>
  </si>
  <si>
    <t>€ 0,76/kg
m.f. € 200,00</t>
  </si>
  <si>
    <t>€ 1,30/kg
m.f. € 200,00</t>
  </si>
  <si>
    <t>€ 0,54/kg
m.f. € 200,00</t>
  </si>
  <si>
    <t>€ 0,70/kg
m.f. € 200,00</t>
  </si>
  <si>
    <t>€ 1,10/kg
m.f. € 200,00</t>
  </si>
  <si>
    <t>€ 1,40/kg
m.f. € 200,00</t>
  </si>
  <si>
    <t>€ 2,00/kg
m.f. € 200,00</t>
  </si>
  <si>
    <t>€ 1,53/kg
m.f. € 200,00</t>
  </si>
  <si>
    <t>GRATUITO</t>
  </si>
  <si>
    <t>GRATUITO (ADR&gt;1000 lt)</t>
  </si>
  <si>
    <t>GRATUITO (se pulita)</t>
  </si>
  <si>
    <t>€ 0,14/kg (L)
€ 0,20/kg (S)
m.f. € 50,00</t>
  </si>
  <si>
    <t>20 03 07 (rifiuti ingombranti)</t>
  </si>
  <si>
    <t>PREZZI ESCLUSO I.V.A. E TRASPORTI</t>
  </si>
  <si>
    <r>
      <rPr>
        <b/>
        <sz val="12"/>
        <rFont val="Arial"/>
        <family val="2"/>
      </rPr>
      <t>INTERVENTO DI SPURGO</t>
    </r>
    <r>
      <rPr>
        <sz val="12"/>
        <rFont val="Arial"/>
        <family val="2"/>
      </rPr>
      <t xml:space="preserve"> (durata massima 1 ore) </t>
    </r>
  </si>
  <si>
    <r>
      <rPr>
        <b/>
        <sz val="12"/>
        <rFont val="Arial"/>
        <family val="2"/>
      </rPr>
      <t>PULIZIA FOSSA BIOLOGICA</t>
    </r>
    <r>
      <rPr>
        <sz val="12"/>
        <rFont val="Arial"/>
        <family val="2"/>
      </rPr>
      <t xml:space="preserve"> (durata massima 1 ore)</t>
    </r>
  </si>
  <si>
    <t>DA VALUTARE</t>
  </si>
  <si>
    <t>VETRIFICAZIONE SERBATOI 
(seguito sopralluogo)</t>
  </si>
  <si>
    <t>Analisi marmi (D.M. 2010-tab. 2-3)</t>
  </si>
  <si>
    <t>08 01 11* (pitture e vernici di scarto, 
contenenti sostanze pericolose)</t>
  </si>
  <si>
    <t>13 02 05* (scarti di olio minerale per motori, 
non clorurati)</t>
  </si>
  <si>
    <r>
      <t xml:space="preserve">15 01 01 (imballaggi in carta e cartone) - 
</t>
    </r>
    <r>
      <rPr>
        <b/>
        <sz val="11"/>
        <color rgb="FF000000"/>
        <rFont val="Arial"/>
        <family val="2"/>
      </rPr>
      <t>MACERO CON DISTRUZIONE</t>
    </r>
  </si>
  <si>
    <t>15 01 10* ( imballaggi contenenti residui 
di sostanze pericolose)</t>
  </si>
  <si>
    <t>15 02 02* (assorbenti, materiali filtranti 
contaminati da sostanze pericolose)</t>
  </si>
  <si>
    <r>
      <t xml:space="preserve">15 02 03 (assorbenti, materiali filtranti, 
stracci non pericolosi) - </t>
    </r>
    <r>
      <rPr>
        <b/>
        <sz val="11"/>
        <color rgb="FF000000"/>
        <rFont val="Arial"/>
        <family val="2"/>
      </rPr>
      <t>ANALISI OBBLIGATORIE</t>
    </r>
  </si>
  <si>
    <r>
      <t xml:space="preserve">16 02 11* (apparecchiature fuori uso 
contenenti clorofluorocarburi) - </t>
    </r>
    <r>
      <rPr>
        <b/>
        <sz val="11"/>
        <color rgb="FF000000"/>
        <rFont val="Arial"/>
        <family val="2"/>
      </rPr>
      <t>FRIGO DOMESTICI</t>
    </r>
  </si>
  <si>
    <t>17 01 07 (miscugli o scorie di cemento, 
mattoni, ceramiche)</t>
  </si>
  <si>
    <t>17 06 03* (altri materiali isolanti contenenti 
sostanze pericolose)</t>
  </si>
  <si>
    <t>17 09 04 (rifiuti misti dell’attività di 
costruzione e demolizione)</t>
  </si>
  <si>
    <r>
      <t xml:space="preserve">20 03 04 (fanghi delle fosse settiche) - 
</t>
    </r>
    <r>
      <rPr>
        <b/>
        <sz val="11"/>
        <color rgb="FF000000"/>
        <rFont val="Arial"/>
        <family val="2"/>
      </rPr>
      <t>TRASPORTO INCLUSO</t>
    </r>
  </si>
  <si>
    <t>FESTIVO/NOTTURNO +50%           SABATO +30%</t>
  </si>
  <si>
    <t>OPERATORE AGGIUNTIVO</t>
  </si>
  <si>
    <t xml:space="preserve">FURGONE D'APPOGGIO </t>
  </si>
  <si>
    <t>PULIZIA BAGNI CHIMICI</t>
  </si>
  <si>
    <t>Analisi di caratterizzazione del rifiuto (solido)</t>
  </si>
  <si>
    <t>Analisi di caratterizzazione del rifiuto (liquido)</t>
  </si>
  <si>
    <t>URGENZA (5 GIORNI LAVORATIVI PER ESITO LABORATORIO) +50%</t>
  </si>
  <si>
    <t>GAS FREE</t>
  </si>
  <si>
    <t>Parti comuni (CON MASSIMO N. 04 EROGATORI)</t>
  </si>
  <si>
    <t>Parti comuni (OLTRE N. 04 EROGATORI)</t>
  </si>
  <si>
    <t>Pulizia e lavaggio della cassa gasolio e sentina:</t>
  </si>
  <si>
    <t>€ 100,00/h</t>
  </si>
  <si>
    <t>EVENTUALE FASCIATURA MOBILIO INTERNO</t>
  </si>
  <si>
    <t xml:space="preserve">Piano di Lavoro </t>
  </si>
  <si>
    <t xml:space="preserve">PREZZO MINIMO </t>
  </si>
  <si>
    <t>€ 0,14/kg
m.f. € 50,00</t>
  </si>
  <si>
    <t>€ 0,18/kg
m.f. € 50,00</t>
  </si>
  <si>
    <t>€ 0,13/kg
m.f. € 75,00</t>
  </si>
  <si>
    <t>€ 0,60/kg
m.f. € 75,00</t>
  </si>
  <si>
    <t>€ 0,65/kg
m.f. € 100,00</t>
  </si>
  <si>
    <t>€ 0,09/kg
m.f. € 75,00</t>
  </si>
  <si>
    <t>€ 0,12/kg
m.f. € 75,00</t>
  </si>
  <si>
    <t>€ 0,18/kg
m.f. € 100,00</t>
  </si>
  <si>
    <t>€ 0,30/kg
m.f. € 100,00</t>
  </si>
  <si>
    <t>€ 0,70/kg
m.f. € 75,00</t>
  </si>
  <si>
    <t>€ 0,22/kg
m.f. € 250,00</t>
  </si>
  <si>
    <t>€ 0,18/kg
m.f. € 250,00</t>
  </si>
  <si>
    <t>Analisi acqua potabile l. 18/2023</t>
  </si>
  <si>
    <t>Analisi acque per verifica legionella</t>
  </si>
  <si>
    <t>COSTO</t>
  </si>
  <si>
    <t>€ 0,085/kg</t>
  </si>
  <si>
    <t>€ 0,65/kg</t>
  </si>
  <si>
    <t>€ 0,11/kg</t>
  </si>
  <si>
    <t>da € 0,08/kg a € 0,15/kg</t>
  </si>
  <si>
    <t>€ 0,09/kg</t>
  </si>
  <si>
    <t>Anselmo: € 0,30/kg
Iren: € 0,20/kg
Rottami: € 0,25/kg</t>
  </si>
  <si>
    <t>da € 0,22/kg a € 0,27/kg</t>
  </si>
  <si>
    <r>
      <t xml:space="preserve">16 02 13* (apparecchiature fuori uso, 
contenenti componenti pericolosi) - </t>
    </r>
    <r>
      <rPr>
        <b/>
        <sz val="11"/>
        <color rgb="FF000000"/>
        <rFont val="Arial"/>
        <family val="2"/>
      </rPr>
      <t>MONITOR</t>
    </r>
  </si>
  <si>
    <t>€ 0,25/kg</t>
  </si>
  <si>
    <t>VAL: € 13,00/ton
Delprino: € 14,50/ton</t>
  </si>
  <si>
    <t>€ 35,00/ton</t>
  </si>
  <si>
    <t>VAL: € 9,00/ton
Delprino: € 14,50/ton</t>
  </si>
  <si>
    <t>€ 0,40/kg</t>
  </si>
  <si>
    <t>€ 1,60/kg</t>
  </si>
  <si>
    <t>€ 2,08/kg
m.f. € 100,00</t>
  </si>
  <si>
    <t>€ 3,00/kg
m.f. € 100,00</t>
  </si>
  <si>
    <t>€ 0,06/kg</t>
  </si>
  <si>
    <t>Bovero: € 0,035/kg
Blu: € 0,025/kg
Consorzio: € 0,026/kg</t>
  </si>
  <si>
    <t>€ 0,89/kg
m.f. € 100,00</t>
  </si>
  <si>
    <t>€ 0,11/kg
m.f. € 110,00</t>
  </si>
  <si>
    <t>€ 0,9/kg
m.f. € 50,00</t>
  </si>
  <si>
    <t>€ 0,72/kg
m.f. € 50,00</t>
  </si>
  <si>
    <t>€ 0,35/kg
m.f. € 50,00</t>
  </si>
  <si>
    <t>€ 0,85/kg
m.f. € 50,00</t>
  </si>
  <si>
    <t>€ 0,50/kg
m.f. € 50,00</t>
  </si>
  <si>
    <t>€ 1,00/kg
m.f. € 100,00</t>
  </si>
  <si>
    <t>02 03 04 (scarti inutilizzati per il consumo e la trasformazione</t>
  </si>
  <si>
    <t>€ 0,195/kg
m.f. € 250,00</t>
  </si>
  <si>
    <t>€ 0,30/kg
m.f. € 250,00</t>
  </si>
  <si>
    <t>Analisi per Consorzio (no codice specchio)</t>
  </si>
  <si>
    <t>Analisi per Consorzio (codice specchio)</t>
  </si>
  <si>
    <t>Ricerca diossine</t>
  </si>
  <si>
    <t>Analisi per presenza di amianto (SEM)</t>
  </si>
  <si>
    <t>Analisi per presenza di amianto (MOCF)</t>
  </si>
  <si>
    <t>Analisi terra/inerti (D.M.05 aprile 2006 n. 186, allegato 3)</t>
  </si>
  <si>
    <t>€ 0,15/kg
m.f. € 150,00</t>
  </si>
  <si>
    <t>COSTI</t>
  </si>
  <si>
    <t>Provvigione agente 10%</t>
  </si>
  <si>
    <t>compreso 3 
passaggi</t>
  </si>
  <si>
    <t xml:space="preserve">Parti comuni </t>
  </si>
  <si>
    <t>singolo 
passaggio</t>
  </si>
  <si>
    <t>DERATTIZZAZIONI</t>
  </si>
  <si>
    <t>Gestione azienda (6% su fatturato)</t>
  </si>
  <si>
    <t>Oneri finanziari (3% sul fatturato)</t>
  </si>
  <si>
    <t>Intervento singolo</t>
  </si>
  <si>
    <t>DPI e materiali di consumo</t>
  </si>
  <si>
    <t>Margine operativo su ipotesi 15 interventi</t>
  </si>
  <si>
    <t>Margine operativo su ipotesi 20 interventi</t>
  </si>
  <si>
    <t xml:space="preserve">Costi su ipotesi 20 interventi </t>
  </si>
  <si>
    <t xml:space="preserve">Costi su ipotesi 15 interventi </t>
  </si>
  <si>
    <t>TOTALE</t>
  </si>
  <si>
    <t>VENDITA</t>
  </si>
  <si>
    <t xml:space="preserve">INTERVENTO DI SPURGO (durata massima 1 ore) </t>
  </si>
  <si>
    <t>Autocarro DAF (€ 1,90/km)</t>
  </si>
  <si>
    <t>Autocarro Isuzu  (€ 1,70/km) - (40000km/anno diviso 250gg=160km/gg)</t>
  </si>
  <si>
    <t>Consumo automezzo Isuzu durante il lavoro (4lt)</t>
  </si>
  <si>
    <t>Consumo automezzo DAF durante il lavoro (8lt)</t>
  </si>
  <si>
    <t>Operatore (2 operatori) - 27,50x8h diviso 7 interventi x 2 operatori</t>
  </si>
  <si>
    <t>Margine intervento con DAF</t>
  </si>
  <si>
    <t>Margine intervento con ISUZU</t>
  </si>
  <si>
    <t>Autocarro tipo "MODULO"</t>
  </si>
  <si>
    <t>INTERVENTO SINGOLO (Isuzu o DAF)</t>
  </si>
  <si>
    <t>INTERVENTO SINGOLO (MODULO)</t>
  </si>
  <si>
    <t xml:space="preserve">INTERVENTO DI SPURGO (durata massima 1 ore con MODULO) </t>
  </si>
  <si>
    <t>Consumo "modulo" durante il lavoro (0,70lt x prezzo €1,60/lt)</t>
  </si>
  <si>
    <t>Margine intervento con MODULO</t>
  </si>
  <si>
    <r>
      <rPr>
        <b/>
        <u/>
        <sz val="20"/>
        <color rgb="FFFF0000"/>
        <rFont val="Arial"/>
        <family val="2"/>
      </rPr>
      <t>COSTI</t>
    </r>
    <r>
      <rPr>
        <b/>
        <sz val="20"/>
        <color rgb="FFFF0000"/>
        <rFont val="Arial"/>
        <family val="2"/>
      </rPr>
      <t xml:space="preserve"> AUTO SPURGHI - VIDEOISPEZIONI</t>
    </r>
  </si>
  <si>
    <r>
      <rPr>
        <b/>
        <u/>
        <sz val="20"/>
        <color rgb="FFFF0000"/>
        <rFont val="Arial"/>
        <family val="2"/>
      </rPr>
      <t>COSTI</t>
    </r>
    <r>
      <rPr>
        <b/>
        <sz val="20"/>
        <color rgb="FFFF0000"/>
        <rFont val="Arial"/>
        <family val="2"/>
      </rPr>
      <t xml:space="preserve"> CANNE FUMARIE</t>
    </r>
  </si>
  <si>
    <r>
      <rPr>
        <b/>
        <u/>
        <sz val="20"/>
        <color rgb="FFFF0000"/>
        <rFont val="Arial"/>
        <family val="2"/>
      </rPr>
      <t>COSTI</t>
    </r>
    <r>
      <rPr>
        <b/>
        <sz val="20"/>
        <color rgb="FFFF0000"/>
        <rFont val="Arial"/>
        <family val="2"/>
      </rPr>
      <t xml:space="preserve"> DISINFESTAZIONI - DERATTIZZAZIONI</t>
    </r>
  </si>
  <si>
    <t>SMALTIMENTO fanghi liquidi</t>
  </si>
  <si>
    <t>SMALTIMENTO fanghi solidi</t>
  </si>
  <si>
    <t>/kg</t>
  </si>
  <si>
    <t>PULIZIA FOSSA BIOLOGICA</t>
  </si>
  <si>
    <t>Operatore (2 operatori) - 27,50x1h  x 2 operatori</t>
  </si>
  <si>
    <t>Operatore € 27,50x8h diviso 5 interventi</t>
  </si>
  <si>
    <t>SCARRABILE II ASSI (120)</t>
  </si>
  <si>
    <t>SCARRABILE IV ASSI</t>
  </si>
  <si>
    <r>
      <t xml:space="preserve">PREZZO DI VENDITA </t>
    </r>
    <r>
      <rPr>
        <b/>
        <u/>
        <sz val="10"/>
        <rFont val="Arial"/>
        <family val="2"/>
      </rPr>
      <t>MEDIO</t>
    </r>
    <r>
      <rPr>
        <b/>
        <sz val="10"/>
        <rFont val="Arial"/>
        <family val="2"/>
      </rPr>
      <t xml:space="preserve"> CASSONI</t>
    </r>
  </si>
  <si>
    <t>Operatore € 27,50x8h diviso 4 interventi</t>
  </si>
  <si>
    <r>
      <t xml:space="preserve">PREZZO DI VENDITA </t>
    </r>
    <r>
      <rPr>
        <b/>
        <u/>
        <sz val="10"/>
        <rFont val="Arial"/>
        <family val="2"/>
      </rPr>
      <t>MEDIO</t>
    </r>
    <r>
      <rPr>
        <b/>
        <sz val="10"/>
        <rFont val="Arial"/>
        <family val="2"/>
      </rPr>
      <t xml:space="preserve"> CARICO CON GRU</t>
    </r>
  </si>
  <si>
    <t>ISPEZIONI TELEVISIVE CON CANALJET</t>
  </si>
  <si>
    <t>INTERVENTO SINGOLO (Isuzu o DAF) SPALMATO SU 7 SPURGHI/GG</t>
  </si>
  <si>
    <t>Operatore (2 operatori) - 27,50x2h  x 2 operatori</t>
  </si>
  <si>
    <r>
      <t xml:space="preserve">Autocarro furgone (€ 0,8/km)   </t>
    </r>
    <r>
      <rPr>
        <b/>
        <sz val="10"/>
        <color rgb="FFFF0000"/>
        <rFont val="Arial"/>
        <family val="2"/>
      </rPr>
      <t>EVENTUALMENTE DA TOGLIERE</t>
    </r>
  </si>
  <si>
    <t xml:space="preserve">Margine intervento </t>
  </si>
  <si>
    <t xml:space="preserve">TOTALE </t>
  </si>
  <si>
    <t>Smaltimento liquami 200304 liquidi kg 40 (€ 0,035/kg)</t>
  </si>
  <si>
    <t>Consumo automezzo FF durante il lavoro (0,70lt x prezzo €1,353/lt)</t>
  </si>
  <si>
    <t>BAGNI CHIMICI (10 interventi al gg)</t>
  </si>
  <si>
    <t>Consegna e ritiro wc in cantiere</t>
  </si>
  <si>
    <t>Operatore  27,50 gg intera di lavoro</t>
  </si>
  <si>
    <r>
      <rPr>
        <b/>
        <u/>
        <sz val="20"/>
        <color rgb="FFFF0000"/>
        <rFont val="Arial"/>
        <family val="2"/>
      </rPr>
      <t>COSTI</t>
    </r>
    <r>
      <rPr>
        <b/>
        <sz val="20"/>
        <color rgb="FFFF0000"/>
        <rFont val="Arial"/>
        <family val="2"/>
      </rPr>
      <t xml:space="preserve"> PULIZIA SERBATOI</t>
    </r>
  </si>
  <si>
    <t>INTERVENTO DI PULIZIA SERBATOIO</t>
  </si>
  <si>
    <t>Consumo automezzo Isuzu durante il lavoro (4lt) x 2h</t>
  </si>
  <si>
    <t>Operatore (2 operatori) - 27,50x4h x 2 operatori</t>
  </si>
  <si>
    <t xml:space="preserve">Pulizia </t>
  </si>
  <si>
    <t>Cementazione passo d'uomo</t>
  </si>
  <si>
    <t>Riempimento a mezzo ghiaia (€ 85/m3)</t>
  </si>
  <si>
    <t>INTERVENTO DI INERTIZZAZIONE SERBATOIO 6.000 lt</t>
  </si>
  <si>
    <t>DISINFESTAZIONI</t>
  </si>
  <si>
    <t xml:space="preserve">Prodotto </t>
  </si>
  <si>
    <t>DERATTIZZAZIONI+DISINFESTAZIONI</t>
  </si>
  <si>
    <t>BARCHE</t>
  </si>
  <si>
    <t>Gas free</t>
  </si>
  <si>
    <t>Provvigione intermediatore 10%</t>
  </si>
  <si>
    <t>TOTALE FATTURATO</t>
  </si>
  <si>
    <t>ORE UOMINI</t>
  </si>
  <si>
    <t>SACCHI 
BICARBONATO</t>
  </si>
  <si>
    <t>TUTE</t>
  </si>
  <si>
    <t>GUANTI</t>
  </si>
  <si>
    <t>Consumo "modulo" durante il lavoro (0,70lt x prezzo €1,60/lt x h8)</t>
  </si>
  <si>
    <t>Carburante utilities (compressore) 70lt x 3 gg di lavoro x 1,353</t>
  </si>
  <si>
    <t xml:space="preserve">Margine </t>
  </si>
  <si>
    <r>
      <rPr>
        <b/>
        <u/>
        <sz val="20"/>
        <color rgb="FFFF0000"/>
        <rFont val="Arial"/>
        <family val="2"/>
      </rPr>
      <t>COSTI</t>
    </r>
    <r>
      <rPr>
        <b/>
        <sz val="20"/>
        <color rgb="FFFF0000"/>
        <rFont val="Arial"/>
        <family val="2"/>
      </rPr>
      <t xml:space="preserve"> PULIZIA CASSE IMBARCAZIONI</t>
    </r>
  </si>
  <si>
    <r>
      <rPr>
        <b/>
        <u/>
        <sz val="20"/>
        <color rgb="FFFF0000"/>
        <rFont val="Arial"/>
        <family val="2"/>
      </rPr>
      <t>COSTI</t>
    </r>
    <r>
      <rPr>
        <b/>
        <sz val="20"/>
        <color rgb="FFFF0000"/>
        <rFont val="Arial"/>
        <family val="2"/>
      </rPr>
      <t xml:space="preserve"> PULIZIA GRAFFITI</t>
    </r>
  </si>
  <si>
    <r>
      <rPr>
        <b/>
        <u/>
        <sz val="20"/>
        <color rgb="FFFF0000"/>
        <rFont val="Arial"/>
        <family val="2"/>
      </rPr>
      <t>COSTI</t>
    </r>
    <r>
      <rPr>
        <b/>
        <sz val="20"/>
        <color rgb="FFFF0000"/>
        <rFont val="Arial"/>
        <family val="2"/>
      </rPr>
      <t xml:space="preserve"> TRASPORTI</t>
    </r>
  </si>
  <si>
    <t>5 TON</t>
  </si>
  <si>
    <t>15 TON</t>
  </si>
  <si>
    <t>Smaltimento inerti  € 13/ton</t>
  </si>
  <si>
    <t>SIMULAZIONE CASSONE INERTI BORGHETTO
compreso smaltimento</t>
  </si>
  <si>
    <t>Operatore € 27,50x2h</t>
  </si>
  <si>
    <t>SIMULAZIONE CASSONE IMB. MISTI FINALE X ALBENGA</t>
  </si>
  <si>
    <t>Smaltimento 150106 € 0,50/kg x 1000 kg</t>
  </si>
  <si>
    <t>Smaltimento 150106 € 0,50/kg x 3000 kg</t>
  </si>
  <si>
    <t>Smaltimento 150106 € 0,30/kg</t>
  </si>
  <si>
    <t>Autocarro IV ASSI (€ 1,90/km)
km200/gg diviso 4 interventi</t>
  </si>
  <si>
    <t>Autocarro IV ASSI (€ 1,90/km)
km55/servizio</t>
  </si>
  <si>
    <t>Autocarro II ASSI (€ 1,60/km)
km55/servizio</t>
  </si>
  <si>
    <t>Autocarro II ASSI (€ 1,60/km)
km200/gg diviso 5 interventi</t>
  </si>
  <si>
    <t>Autocarro IV ASSI (€ 1,90/km)
km200/gg diviso 5 interventi</t>
  </si>
  <si>
    <t xml:space="preserve">Autocarro II ASSI (€ 1,60/km) - km55/servizio </t>
  </si>
  <si>
    <t>Autocarro IV ASSI (€ 1,90/km) - km55/servizio</t>
  </si>
  <si>
    <t>Autocarro tipo "MODULO"   km100/gg x € 0,5/km diviso 7 interventi</t>
  </si>
  <si>
    <t>Autocarro Isuzu  (€ 1,70/km) - (40000km/anno diviso 250gg=160km/gg)
km100/gg x € 1,70/km diviso 7 interventi</t>
  </si>
  <si>
    <t>DPI e materiali di consumo €1,50/guanto diviso 7 interventi x 2 operatori</t>
  </si>
  <si>
    <t>DPI e materiali di consumo € 1,50/guanto x 2 operatori</t>
  </si>
  <si>
    <t>Autocarro Isuzu  (€ 1,70/km) - (40000km/anno diviso 250gg=160km/gg)
km30/intervento x € 1,70/km</t>
  </si>
  <si>
    <t xml:space="preserve">Autocarro DAF (€ 1,90/km) - km30/intervento </t>
  </si>
  <si>
    <t>Autocarro (€ 0,80/km)- km150/intervento</t>
  </si>
  <si>
    <t>Operatore (2 operatori) € 27,5/op x h3 intervento</t>
  </si>
  <si>
    <t>DPI e materiali di consumo € 1,5/guanto x 2 operatori</t>
  </si>
  <si>
    <t>DPI e materiali di consumo
€ 1,80/guanto+€ 1,56/tuta+€ 1.971,50/900 x 4lt fulcron per ogni cisterna</t>
  </si>
  <si>
    <t>Autocarro Isuzu  (€ 1,70/km) - (40000km/anno diviso 250gg=160km/gg)
km75/gg</t>
  </si>
  <si>
    <t>DPI e materiali di consumo
€ 1,80/guanto+€ 1,56/tuta+€ 1.971,50/900 x 5lt fulcron per ogni cisterna</t>
  </si>
  <si>
    <t>Chiusura passo d'uomo - h1 x 2 operatori + cemento (€6/sacco)</t>
  </si>
  <si>
    <t>Inertizzazione - h2 x 2 operatori + ghiaia (25/m3)</t>
  </si>
  <si>
    <t>Erogatori - 4 scatole a € 4,85/cad</t>
  </si>
  <si>
    <t>Esche - € 0,23 a blocchetto x 2 (blocchetti) x 4 (erogatori)</t>
  </si>
  <si>
    <t>Autocarro - km60/gg x € 0,80/km per 15 interventi</t>
  </si>
  <si>
    <t>Operatore - € 27,5/operatore x h 0,5 di intervento</t>
  </si>
  <si>
    <t>DPI e materiali di consumo - € 1,50/guanto per 15 interventi</t>
  </si>
  <si>
    <t>Autocarro - km60/gg x € 0,80/km per 8 interventi</t>
  </si>
  <si>
    <t>Operatore - € 27,5/operatore x h 1 di intervento</t>
  </si>
  <si>
    <t>DPI e materiali di consumo - € 1,50/guanto per 8 interventi</t>
  </si>
  <si>
    <t>DPI e materiali di consumo
€ 1,80/guanto+€ 26/tuta x 3 operatori+fulcron €1971 per 900 lt (4lt per ogni cisterna)</t>
  </si>
  <si>
    <t>Fasciatura mobilia   (VARIABILE)</t>
  </si>
  <si>
    <t xml:space="preserve">Autocarro DAF (€ 1,90/km) - km100/gg x € 1,9/km </t>
  </si>
  <si>
    <t>Lavoro ASL2 Savonese (esempio)</t>
  </si>
  <si>
    <t>(di solito 10m2 al giorno/ogni 10m2 ci vogliono 3 sacchi da 15kg)</t>
  </si>
  <si>
    <t>DPI e materiali di consumo  (vedi conto sotto)</t>
  </si>
  <si>
    <t>Bicarbonato (vedi conto sotto)</t>
  </si>
  <si>
    <t xml:space="preserve">Autocarro furgone (€ 0,80/km) - km60/gg x € 0,8/km </t>
  </si>
  <si>
    <t>Operatore (2 operatori) - 27,50x4h x 3 operatori - vedi conto sotto</t>
  </si>
  <si>
    <t>BAGNI CHIMICI (15 interventi al gg)</t>
  </si>
  <si>
    <t xml:space="preserve">Autocarro FF  (€ 1,20/km) - km150/gg </t>
  </si>
  <si>
    <t>PREZZO DI TRASPORTO CISTERNA ACQUA</t>
  </si>
  <si>
    <t>Consumo automezzo DAF durante il lavoro (8lt) x 8h</t>
  </si>
  <si>
    <t xml:space="preserve">Operatore (3 operatori) - 27,50x8h x 3 operatori </t>
  </si>
  <si>
    <t>Spedizione</t>
  </si>
  <si>
    <t>Operatore per presa campione € 25</t>
  </si>
  <si>
    <t>Trasporto liquami (contributo) € 40</t>
  </si>
  <si>
    <t>SINGOLO</t>
  </si>
  <si>
    <r>
      <rPr>
        <b/>
        <u/>
        <sz val="20"/>
        <color rgb="FFFF0000"/>
        <rFont val="Arial"/>
        <family val="2"/>
      </rPr>
      <t>COSTI</t>
    </r>
    <r>
      <rPr>
        <b/>
        <sz val="20"/>
        <color rgb="FFFF0000"/>
        <rFont val="Arial"/>
        <family val="2"/>
      </rPr>
      <t xml:space="preserve"> ANALISI</t>
    </r>
  </si>
  <si>
    <t>Autocarro - km60/gg x € 0,80/km per 10 interventi</t>
  </si>
  <si>
    <t>Operatore - € 27,5/operatore x h 1 di intervento per 10 interventi</t>
  </si>
  <si>
    <t>Autocarro (€ 0,80/km)- km60/intervento</t>
  </si>
  <si>
    <t>CANNA FUMARIA  (CONSIDERATO 3 INTERVENTI AL GIORNO)</t>
  </si>
  <si>
    <t>CANNA FUMARIA (CONSIDERATO 1 INTERVENTO SINGOLO)</t>
  </si>
  <si>
    <t>Smaltimento fondame 160708* (1ton)</t>
  </si>
  <si>
    <t>Pulizia</t>
  </si>
  <si>
    <t>Smaltimento fondame 160708*</t>
  </si>
  <si>
    <t xml:space="preserve">DPI e materiali di consumo </t>
  </si>
  <si>
    <t>Bicarbonato 3 sacchi da 15kg x € 1,75</t>
  </si>
  <si>
    <t xml:space="preserve">Operatore (2 operatori) - 27,50x8h x 2 operatori </t>
  </si>
  <si>
    <r>
      <rPr>
        <b/>
        <u/>
        <sz val="20"/>
        <color rgb="FFFF0000"/>
        <rFont val="Arial"/>
        <family val="2"/>
      </rPr>
      <t>COSTI</t>
    </r>
    <r>
      <rPr>
        <b/>
        <sz val="20"/>
        <color rgb="FFFF0000"/>
        <rFont val="Arial"/>
        <family val="2"/>
      </rPr>
      <t xml:space="preserve"> PULIZIA GRAFFITI (1gg di lavoro)</t>
    </r>
  </si>
  <si>
    <t>Gestione azienda (6% su costo)</t>
  </si>
  <si>
    <t>Oneri finanziari (3% su costo)</t>
  </si>
  <si>
    <t>SUBTOTALE</t>
  </si>
  <si>
    <t>TOTALE costi su listino compreso provvigioni e varie</t>
  </si>
  <si>
    <t>Varie x%</t>
  </si>
  <si>
    <t>Margine di remunerazione attività al netto costi</t>
  </si>
  <si>
    <t>Gestione azienda (10% sul costo)</t>
  </si>
  <si>
    <t>Oneri finanziari (5% sul costo)</t>
  </si>
  <si>
    <t>TOTALE COSTI AZIENDALI</t>
  </si>
  <si>
    <t>SUBTOTALE II ASSI</t>
  </si>
  <si>
    <t>SUBTOTALE IV ASSI</t>
  </si>
  <si>
    <t>TOTALE COSTI AZIENDALI II ASSI</t>
  </si>
  <si>
    <t>TOTALE COSTI AZIENDALI IV ASSI</t>
  </si>
  <si>
    <t>Gestione azienda (10% su costo)</t>
  </si>
  <si>
    <t>Oneri finanziari (5% su costo)</t>
  </si>
  <si>
    <t>Margine di remunerazione attività al netto costi II ASSI</t>
  </si>
  <si>
    <t>Margine di remunerazione attività al netto costi IV ASSI</t>
  </si>
  <si>
    <t>Prezzo di listino con remunerazione del 30%</t>
  </si>
  <si>
    <t>SUBTOTALE ISUZU</t>
  </si>
  <si>
    <t>SUBTOTALE DAF</t>
  </si>
  <si>
    <t>SUBTOTALE "MODULO"</t>
  </si>
  <si>
    <t>TOTALE COSTI AZIENDALI DAF</t>
  </si>
  <si>
    <t>TOTALE COSTI AZIENDALI "MODULO"</t>
  </si>
  <si>
    <t>TOTALE COSTI AZIENDALI ISUZU</t>
  </si>
  <si>
    <t>TOTALE costi su listino compreso provvigioni e varie ISUZU</t>
  </si>
  <si>
    <t>TOTALE costi su listino compreso provvigioni e varie DAF</t>
  </si>
  <si>
    <t>TOTALE costi su listino compreso provvigioni e varie "MODULO"</t>
  </si>
  <si>
    <t>Provvigione agente 10% "MODULO"</t>
  </si>
  <si>
    <t>Varie x% "MODULO"</t>
  </si>
  <si>
    <t>Provvigione agente 10% ISUZU O DAF</t>
  </si>
  <si>
    <t>Varie x% ISUZU O DAF</t>
  </si>
  <si>
    <t>Margine di remunerazione attività al netto costi ISUZU</t>
  </si>
  <si>
    <t>Margine di remunerazione attività al netto costi DAF</t>
  </si>
  <si>
    <t>Margine di remunerazione attività al netto costi MODULO</t>
  </si>
  <si>
    <t>Prezzo di listino con remunerazione del 30% ISUZU</t>
  </si>
  <si>
    <t>Prezzo di listino con remunerazione del 30% DAF</t>
  </si>
  <si>
    <t>Prezzo di listino con remunerazione del 30% "MODULO"</t>
  </si>
  <si>
    <t xml:space="preserve">SUBTOTALE ISUZU Liquidi </t>
  </si>
  <si>
    <t>SUBTOTALE DAF Solidi</t>
  </si>
  <si>
    <t>SUBTOTALE DAF Liquidi</t>
  </si>
  <si>
    <t>SUBTOTALE ISUZU Solidi</t>
  </si>
  <si>
    <t>Gestione azienda (10% su costo) ISUZU</t>
  </si>
  <si>
    <t>Oneri finanziari (5% su costo) ISUZU</t>
  </si>
  <si>
    <t>Gestione azienda (10% su costo) DAF</t>
  </si>
  <si>
    <t>Oneri finanziari (5% su costo) DAF</t>
  </si>
  <si>
    <t>Gestione azienda (10% su costo) "MODULO"</t>
  </si>
  <si>
    <t>Oneri finanziari (5% su costo) "MODULO"</t>
  </si>
  <si>
    <t>Gestione azienda (10% su costo) ISUZU Liquidi</t>
  </si>
  <si>
    <t>Oneri finanziari (5% su costo) ISUZU Liquidi</t>
  </si>
  <si>
    <t>Gestione azienda (10% su costo) ISUZU Solidi</t>
  </si>
  <si>
    <t xml:space="preserve">Oneri finanziari (5% su costo) ISUZU Solidi </t>
  </si>
  <si>
    <t>Gestione azienda (10% su costo) DAF Liquidi</t>
  </si>
  <si>
    <t>Oneri finanziari (5% su costo) DAF Liquidi</t>
  </si>
  <si>
    <t>Gestione azienda (10% su costo) DAF Solidi</t>
  </si>
  <si>
    <t>Oneri finanziari (5% su costo) DAF Solidi</t>
  </si>
  <si>
    <t>TOTALE Isuzu Liquidi</t>
  </si>
  <si>
    <t>TOTALE Isuzu Solidi</t>
  </si>
  <si>
    <t>TOTALE DAF Liquidi</t>
  </si>
  <si>
    <t>TOTALE DAF Solidi</t>
  </si>
  <si>
    <t>Margine di remunerazione attività al netto costi ISUZU liquidi</t>
  </si>
  <si>
    <t>Margine di remunerazione attività al netto costi ISUZU solidi</t>
  </si>
  <si>
    <t>Margine di remunerazione attività al netto costi DAF liquidi</t>
  </si>
  <si>
    <t>Margine di remunerazione attività al netto costi DAF solidi</t>
  </si>
  <si>
    <t>Prezzo di listino con remunerazione del 30% ISUZU Liquidi</t>
  </si>
  <si>
    <t>Prezzo di listino con remunerazione del 30% ISUZU Solidi</t>
  </si>
  <si>
    <t>Prezzo di listino con remunerazione del 30% DAF Liquidi</t>
  </si>
  <si>
    <t>Prezzo di listino con remunerazione del 30% DAF Solidi</t>
  </si>
  <si>
    <t>Provvigione agente 10% ISUZU o DAF Liquidi</t>
  </si>
  <si>
    <t>Varie x% ISUZU o DAF Liquidi</t>
  </si>
  <si>
    <t>Provvigione agente 10% ISUZU o DAF Solidi</t>
  </si>
  <si>
    <t>Varie x% ISUZU o DAF Solidi</t>
  </si>
  <si>
    <t>TOTALE costi su listino compreso provvigioni e varie ISUZU Liquidi</t>
  </si>
  <si>
    <t>TOTALE costi su listino compreso provvigioni e varie ISUZU Solidi</t>
  </si>
  <si>
    <t>TOTALE costi su listino compreso provvigioni e varie DAF Liquidi</t>
  </si>
  <si>
    <t>TOTALE costi su listino compreso provvigioni e varie DAF Solidi</t>
  </si>
  <si>
    <t xml:space="preserve">Margine di remunerazione attività al netto costi </t>
  </si>
  <si>
    <t xml:space="preserve">TOTALE costi su listino compreso provvigioni e varie </t>
  </si>
  <si>
    <t>Smaltimento liquami 200304 liquidi kg 2.000 (€ 0,035/kg)</t>
  </si>
  <si>
    <t>Smaltimento liquami 200304 solidi kg 2.000 (€ 0,085/kg)</t>
  </si>
  <si>
    <t>DPI e materiali di consumo € 1,50/guanto +carta e prodotto (€1)</t>
  </si>
  <si>
    <t>DPI e materiali di consumo € 1,50/guanto + carta e prodotto (1€)</t>
  </si>
  <si>
    <r>
      <rPr>
        <b/>
        <sz val="10"/>
        <rFont val="Arial"/>
        <family val="2"/>
      </rPr>
      <t xml:space="preserve">ATTENZIONE!!! </t>
    </r>
    <r>
      <rPr>
        <sz val="10"/>
        <rFont val="Arial"/>
        <family val="2"/>
      </rPr>
      <t>consegna e ritiro wc chimico come la consideriamo?</t>
    </r>
  </si>
  <si>
    <t xml:space="preserve">SUBTOTALE </t>
  </si>
  <si>
    <t xml:space="preserve">Autocarro II ASSI (€ 1,60/km)
km40/gg </t>
  </si>
  <si>
    <t xml:space="preserve">Autocarro IV ASSI (€ 1,90/km)
km40/gg </t>
  </si>
  <si>
    <t>DPI e materiali di consumo - € 1,50/guanto per 10 interventi</t>
  </si>
  <si>
    <t>Operatore (2 operatori) - 27,50x1,5h x 2 operatori</t>
  </si>
  <si>
    <t>Autocarro Isuzu  (€ 1,70/km) - (40000km/anno diviso 250gg=160km/gg)
km30/intervento x €1,70/km</t>
  </si>
  <si>
    <t>BAGNI CHIMICI (12 interventi al gg)</t>
  </si>
  <si>
    <t>Prezzo di listino con remunerazione del 30% DAF/BL/Renault</t>
  </si>
  <si>
    <t>Aspirazione casse acqua dolce:</t>
  </si>
  <si>
    <r>
      <rPr>
        <b/>
        <sz val="12"/>
        <rFont val="Arial"/>
        <family val="2"/>
      </rPr>
      <t>INTERVENTO DI PULIZIA</t>
    </r>
    <r>
      <rPr>
        <sz val="12"/>
        <rFont val="Arial"/>
        <family val="2"/>
      </rPr>
      <t xml:space="preserve"> (valutare la distanza)</t>
    </r>
  </si>
  <si>
    <t>GAS-FREE A CASSA</t>
  </si>
  <si>
    <t>CISTERNE CON CAPACITA' FINO A 10.000 LT. (contenenti gasolio)</t>
  </si>
  <si>
    <t>CISTERNE CON CAPACITA' FINO A 10.000 LT. (contenenti olio combustibile)</t>
  </si>
  <si>
    <t xml:space="preserve">OLTRE ORA </t>
  </si>
  <si>
    <t>DA CONCORDARE</t>
  </si>
  <si>
    <t xml:space="preserve"> </t>
  </si>
  <si>
    <t xml:space="preserve"> h</t>
  </si>
  <si>
    <t>h</t>
  </si>
  <si>
    <t>OLTRE ORA  PRIMA ORA</t>
  </si>
  <si>
    <t xml:space="preserve">vasche </t>
  </si>
  <si>
    <t>tubazioni 10 kg m/l 8 € costo</t>
  </si>
  <si>
    <t>m2 15kg lastre 4,90€ costo</t>
  </si>
  <si>
    <t>MAX 32 H A SETTIMANA</t>
  </si>
  <si>
    <t>FESTIVO E DOMENICA</t>
  </si>
  <si>
    <t>NOTTURNO</t>
  </si>
  <si>
    <t>DOPO 8 ORE</t>
  </si>
  <si>
    <t xml:space="preserve">DA 1 A 8 ORE </t>
  </si>
  <si>
    <t>MAX 250H ALL'ANNO (DA GESTIRE SU 6 MESI)</t>
  </si>
  <si>
    <t>SCA</t>
  </si>
  <si>
    <t xml:space="preserve">CONSORZIO DEPURAZIONE ACQUE </t>
  </si>
  <si>
    <t>CLIENTI PARTICOLARI</t>
  </si>
  <si>
    <t>TARIFFA ORARIA X  2 OPERATORI CON FM O BL</t>
  </si>
  <si>
    <t>TARIFFA ORARIA X 2 OPERATORI CON FM O BL FESTIVO</t>
  </si>
  <si>
    <t>TARIFFA ORARIA X 2 OPERATORI CON DAF O ISUZU FESTIVO</t>
  </si>
  <si>
    <t>TARIFFA ORARIA X 2 OPERATORI CON MODULO O PORTER FESTIVO</t>
  </si>
  <si>
    <t>PULIZIA RETE DIAM FINO A 200MM (€/M.L.)</t>
  </si>
  <si>
    <t>PULIZIA RETE DIAM DA 401MM FINO A 600MM (€/M.L.)</t>
  </si>
  <si>
    <t>PULIZIA RETE DIAM DA 201MM FINO A 400MM (€/M.L.)</t>
  </si>
  <si>
    <t>VASCHE FINO A 10 MC (A CORPO, A VASCA, COMPR. SMALTIM)</t>
  </si>
  <si>
    <t>VASCHE DA 10 MC FINO A 20 MC (A CORPO, A VASCA COMPR SMALTIM)</t>
  </si>
  <si>
    <t>VASCHE DA 20 MC FINO A 30 MC (A CORPO, A VASCA COMPR. SMALTIM)</t>
  </si>
  <si>
    <t>VASCHE OLTRE 30 MC (A CORPO, A VASCA COMPR. SMALTIM)</t>
  </si>
  <si>
    <t>VASCHE CONSORTILI (€/M3)</t>
  </si>
  <si>
    <r>
      <t xml:space="preserve">ASPIRATORE A RISUCCHIO (SUBAPPALTO) (€/M3) </t>
    </r>
    <r>
      <rPr>
        <b/>
        <i/>
        <sz val="10"/>
        <rFont val="Arial"/>
        <family val="2"/>
      </rPr>
      <t>(MAI FATTO)</t>
    </r>
  </si>
  <si>
    <t>CARICO VAGLIO (€/VIAGGIO)</t>
  </si>
  <si>
    <t>INTERVENTO CANALJET CON LAVAGGIO STRADA</t>
  </si>
  <si>
    <t>INTERVENTO CANALJET-SENZA LAVAGGIO STRADA</t>
  </si>
  <si>
    <t>INTERVENTO CANALJET-SENZA LAVAGGIO STRADA FESTIVO</t>
  </si>
  <si>
    <t>INTERVENTO CANALJET CON LAVAGGIO STRADA FESTIVO</t>
  </si>
  <si>
    <t>VERIFICA E CONTROLLI (€/H)</t>
  </si>
  <si>
    <t>VERIFICA E CONTROLLI (€/H) FESTIVO</t>
  </si>
  <si>
    <t>INTERVENTO MANCATO (NON DI COMPETENZA) (A CORPO)</t>
  </si>
  <si>
    <t>INTERVENTO MANCATO (NON DI COMPETENZA) (A CORPO) FESTIVO</t>
  </si>
  <si>
    <t>SMALTIMENTO VAGLIO 190801 IN BB (€/KG)</t>
  </si>
  <si>
    <t>EVENTUALE RIPOSIZIONAMENTO DI CARTELLI STRADALI (€/CARTELLO)</t>
  </si>
  <si>
    <t>POSA CARTELLI STRADALI (A FORFAIT) COMPRESO ILRITIRO</t>
  </si>
  <si>
    <t>MOVIERE (€/H) DAL 3° OPERATORE IN POI</t>
  </si>
  <si>
    <t>CANONE REPERIBILITÀ (€/A MESE)</t>
  </si>
  <si>
    <t>SMALTIMENTO BIOLOGICO (€/KG)</t>
  </si>
  <si>
    <t>NOLEGGIO AUTOCARRO PER PULIZIA VASCHE ACQUA POTABILE X 2 OPERATORI 
FINO A 2.200LT DI CAPACITÀ  (€/H)</t>
  </si>
  <si>
    <t>NOLEGGIO AUTOCARRO PER PULIZIA VASCHE ACQUA POTABILE X 2 OPERATORI 
FINO A 2.200LT DI CAPACITÀ  (€/H) FESTIVO</t>
  </si>
  <si>
    <t>NOLEGGIO AUTOCARRO PER PULIZIA VASCHE ACQUA POTABILE X 2 OPERATORI 
DA 2.201 LT FINO A 8.000LT DI CAPACITÀ  (€/H)</t>
  </si>
  <si>
    <t>!!!INTERVENTO CON LANCE PULITE X H2O POTABILE!!!!</t>
  </si>
  <si>
    <t>NOLEGGIO AUTOCARRO PER PULIZIA VASCHE ACQUA POTABILE X 2 OPERATORI 
DA 2.201 LT FINO A 8.000LT DI CAPACITÀ  (€/H) FESTIVO</t>
  </si>
  <si>
    <t>TRASPORTO ACQUA POTABILE CON 1 OPERATORE (€/H)</t>
  </si>
  <si>
    <t>TRASPORTO ACQUA POTABILE CON 1 OPERATORE (€/H) FESTIVO</t>
  </si>
  <si>
    <t>NOLO A FREDDO CISTERNA PER ACQUA POTABILE (€/GIORNO) COMPRENSIVO DI CONSEGNA E RITIRO</t>
  </si>
  <si>
    <r>
      <t xml:space="preserve">ASPIRAZIONE RESIDUI DI FANGHI DI RIGENERAZIONE RESINE SCAMBIO IONICO </t>
    </r>
    <r>
      <rPr>
        <b/>
        <i/>
        <sz val="10"/>
        <rFont val="Arial"/>
        <family val="2"/>
      </rPr>
      <t>(MAI FATTO)</t>
    </r>
  </si>
  <si>
    <t>MAGGIORAZIONE ASPIRATORE A RISUCCHIO (SUBAPPALTO) (€/M3) 
SE INFERIORE A 20MC</t>
  </si>
  <si>
    <r>
      <rPr>
        <b/>
        <u/>
        <sz val="20"/>
        <color rgb="FFFF0000"/>
        <rFont val="Arial"/>
        <family val="2"/>
      </rPr>
      <t>COSTI</t>
    </r>
    <r>
      <rPr>
        <b/>
        <sz val="20"/>
        <color rgb="FFFF0000"/>
        <rFont val="Arial"/>
        <family val="2"/>
      </rPr>
      <t xml:space="preserve"> STRAORDINARI</t>
    </r>
  </si>
  <si>
    <t>F.LLI IVALDI S.R.L.</t>
  </si>
  <si>
    <t>TARIFFA ORARIA X 2 OPERATORI CON ATB (€/H)</t>
  </si>
  <si>
    <t>TARIFFA ORARIA X 1 OPERATORE CON ATB (€/H)</t>
  </si>
  <si>
    <t>TARIFFA ORARIA X 1 OPERATORE AGGIUNTIVO (€/H)</t>
  </si>
  <si>
    <t>TARIFFA ORARIA X 1 OPERATORE CON FURGONE (€/H)</t>
  </si>
  <si>
    <t>tot costi operat</t>
  </si>
  <si>
    <t>Listino</t>
  </si>
  <si>
    <t>attrezzature</t>
  </si>
  <si>
    <t xml:space="preserve">Km 40 </t>
  </si>
  <si>
    <t xml:space="preserve">Remun </t>
  </si>
  <si>
    <t>CALCOLI</t>
  </si>
  <si>
    <t xml:space="preserve">Totale </t>
  </si>
  <si>
    <t>Provv</t>
  </si>
  <si>
    <t>Remu Az 30%</t>
  </si>
  <si>
    <t>oneri gen 15%</t>
  </si>
  <si>
    <t>Media utilizzo</t>
  </si>
  <si>
    <t>Costo orar</t>
  </si>
  <si>
    <t>DPI</t>
  </si>
  <si>
    <t xml:space="preserve">Stima </t>
  </si>
  <si>
    <t>Personale 2</t>
  </si>
  <si>
    <t>Veicoli</t>
  </si>
  <si>
    <t>TARIFFA ORARIA X 2 OPERATORI CON DAF O ISUZU ( €1,40 al Km)</t>
  </si>
  <si>
    <t>TARIFFA ORARIA X 2 OPERATORI CON MODULO O PORTER(/0,80 a Km)</t>
  </si>
  <si>
    <t>Eventuali esigenze ed interventi "particolari"</t>
  </si>
  <si>
    <t>da valutare singolarmente</t>
  </si>
  <si>
    <t>Analisi inerti (D.M.05 aprile 2006 n. 186, allegato 3)</t>
  </si>
  <si>
    <t>Analisi terra (D.M.05 aprile 2006 n. 186, allegato 3)</t>
  </si>
  <si>
    <t>AUTO SPURGHI - VIDEOISPEZIONI -Genova Brignole/Sanremo</t>
  </si>
  <si>
    <t>Analisi acqua potabile l. 18/2023 profilo base + LEGIO</t>
  </si>
  <si>
    <t>Pulizia/vhs (attività-pizzerie-ecc.) canne fumarie grandi</t>
  </si>
  <si>
    <t>/a ML</t>
  </si>
  <si>
    <t>GENOVA/VENTIMIGLIA</t>
  </si>
  <si>
    <t>GENOVA/da S.Remo</t>
  </si>
  <si>
    <t>compreso 4 
passaggi</t>
  </si>
  <si>
    <t xml:space="preserve"> GENOVA</t>
  </si>
  <si>
    <t xml:space="preserve">SAVONA-SANREMO </t>
  </si>
  <si>
    <t>€ 180,00/ora</t>
  </si>
  <si>
    <t>In alternativa 2 persone</t>
  </si>
  <si>
    <t>In alternativa 3 persone</t>
  </si>
  <si>
    <t>€ 220,00/ora</t>
  </si>
  <si>
    <t>€ 240,00/ora</t>
  </si>
  <si>
    <t>€ 130,00/h</t>
  </si>
  <si>
    <t>130/cad</t>
  </si>
  <si>
    <t>250 minimo</t>
  </si>
  <si>
    <t>EVENTUALE FASCIATURA TUBAZIONI ESTERNE INTERNE</t>
  </si>
  <si>
    <t>200 minimo</t>
  </si>
  <si>
    <r>
      <t xml:space="preserve">minimo fatturabile di 4 ore </t>
    </r>
    <r>
      <rPr>
        <b/>
        <sz val="12"/>
        <rFont val="Arial"/>
        <family val="2"/>
      </rPr>
      <t>permanenza eccedente € 150</t>
    </r>
    <r>
      <rPr>
        <sz val="12"/>
        <rFont val="Arial"/>
        <family val="2"/>
      </rPr>
      <t xml:space="preserve"> </t>
    </r>
  </si>
  <si>
    <t>2500/3000 €</t>
  </si>
  <si>
    <r>
      <t xml:space="preserve">Sopralluogo, rilievo delle misure e sviluppo del preventivo con tecnico/operativo  minimo </t>
    </r>
    <r>
      <rPr>
        <b/>
        <sz val="12"/>
        <rFont val="Arial"/>
        <family val="2"/>
      </rPr>
      <t>€ 850.</t>
    </r>
  </si>
  <si>
    <t>Pulizia e lavaggio della cassa gasolio e sentina con 3 operatori max 3000 litri giorn</t>
  </si>
  <si>
    <t>GENOVA/ da  SANREMO</t>
  </si>
  <si>
    <t xml:space="preserve">PULIZIA CASSE IMBARCAZIONI (Aregai-Savona) </t>
  </si>
  <si>
    <t>LINEA VITA (fatta da terzi)</t>
  </si>
  <si>
    <t>€ 80,00-120,00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</si>
</sst>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[$€-2]\ * #,##0.00_-;\-[$€-2]\ * #,##0.00_-;_-[$€-2]\ * &quot;-&quot;??_-"/>
    <numFmt numFmtId="165" formatCode="[$€-2]\ #,##0.00"/>
    <numFmt numFmtId="166" formatCode="&quot;€&quot;\ #,##0.00"/>
    <numFmt numFmtId="167" formatCode="[$€-2]\ #,##0.00;[Red]\-[$€-2]\ #,##0.00"/>
    <numFmt numFmtId="168" formatCode="#,##0.00\ &quot;€&quot;"/>
    <numFmt numFmtId="169" formatCode="#,##0.000\ &quot;€&quot;"/>
    <numFmt numFmtId="170" formatCode="_-* #,##0.00\ [$€-410]_-;\-* #,##0.00\ [$€-410]_-;_-* &quot;-&quot;??\ [$€-410]_-;_-@_-"/>
  </numFmts>
  <fonts count="3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20"/>
      <name val="Arial"/>
      <family val="2"/>
    </font>
    <font>
      <u/>
      <sz val="12"/>
      <name val="Arial"/>
      <family val="2"/>
    </font>
    <font>
      <b/>
      <sz val="20"/>
      <color rgb="FFFF0000"/>
      <name val="Arial"/>
      <family val="2"/>
    </font>
    <font>
      <vertAlign val="superscript"/>
      <sz val="1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theme="0" tint="-0.14999847407452621"/>
      <name val="Arial"/>
      <family val="2"/>
    </font>
    <font>
      <b/>
      <u/>
      <sz val="12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20"/>
      <color rgb="FFFF0000"/>
      <name val="Arial"/>
      <family val="2"/>
    </font>
    <font>
      <sz val="10"/>
      <color rgb="FFFF0000"/>
      <name val="Arial"/>
      <family val="2"/>
    </font>
    <font>
      <b/>
      <u/>
      <sz val="10"/>
      <name val="Arial"/>
      <family val="2"/>
    </font>
    <font>
      <sz val="10"/>
      <color rgb="FF00B050"/>
      <name val="Arial"/>
      <family val="2"/>
    </font>
    <font>
      <sz val="20"/>
      <color rgb="FFFF0000"/>
      <name val="Arial"/>
      <family val="2"/>
    </font>
    <font>
      <b/>
      <i/>
      <sz val="10"/>
      <name val="Arial"/>
      <family val="2"/>
    </font>
    <font>
      <b/>
      <sz val="10"/>
      <color rgb="FF00B050"/>
      <name val="Arial"/>
      <family val="2"/>
    </font>
    <font>
      <sz val="10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</cellStyleXfs>
  <cellXfs count="352">
    <xf numFmtId="0" fontId="0" fillId="0" borderId="0" xfId="0"/>
    <xf numFmtId="0" fontId="0" fillId="0" borderId="1" xfId="0" applyBorder="1"/>
    <xf numFmtId="165" fontId="0" fillId="0" borderId="0" xfId="0" applyNumberFormat="1"/>
    <xf numFmtId="166" fontId="0" fillId="0" borderId="1" xfId="1" applyNumberFormat="1" applyFont="1" applyBorder="1"/>
    <xf numFmtId="0" fontId="4" fillId="0" borderId="0" xfId="0" applyFont="1"/>
    <xf numFmtId="164" fontId="0" fillId="0" borderId="0" xfId="1" applyFont="1" applyBorder="1"/>
    <xf numFmtId="166" fontId="0" fillId="0" borderId="0" xfId="1" applyNumberFormat="1" applyFont="1" applyBorder="1"/>
    <xf numFmtId="14" fontId="2" fillId="0" borderId="0" xfId="0" applyNumberFormat="1" applyFont="1"/>
    <xf numFmtId="164" fontId="2" fillId="0" borderId="0" xfId="1" applyFont="1" applyBorder="1"/>
    <xf numFmtId="0" fontId="2" fillId="0" borderId="0" xfId="0" applyFont="1"/>
    <xf numFmtId="0" fontId="1" fillId="0" borderId="1" xfId="0" applyFont="1" applyBorder="1"/>
    <xf numFmtId="166" fontId="1" fillId="0" borderId="1" xfId="1" applyNumberFormat="1" applyFont="1" applyBorder="1"/>
    <xf numFmtId="166" fontId="0" fillId="0" borderId="0" xfId="0" applyNumberFormat="1"/>
    <xf numFmtId="166" fontId="2" fillId="0" borderId="0" xfId="1" applyNumberFormat="1" applyFont="1" applyBorder="1"/>
    <xf numFmtId="166" fontId="1" fillId="0" borderId="1" xfId="1" applyNumberFormat="1" applyFont="1" applyBorder="1" applyAlignment="1">
      <alignment wrapText="1"/>
    </xf>
    <xf numFmtId="0" fontId="5" fillId="0" borderId="2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166" fontId="5" fillId="0" borderId="1" xfId="0" applyNumberFormat="1" applyFont="1" applyBorder="1" applyAlignment="1">
      <alignment horizontal="right"/>
    </xf>
    <xf numFmtId="14" fontId="5" fillId="0" borderId="1" xfId="0" applyNumberFormat="1" applyFont="1" applyBorder="1"/>
    <xf numFmtId="166" fontId="5" fillId="0" borderId="1" xfId="1" applyNumberFormat="1" applyFont="1" applyBorder="1"/>
    <xf numFmtId="166" fontId="5" fillId="0" borderId="1" xfId="0" applyNumberFormat="1" applyFont="1" applyBorder="1"/>
    <xf numFmtId="166" fontId="5" fillId="0" borderId="1" xfId="1" applyNumberFormat="1" applyFont="1" applyBorder="1" applyAlignment="1">
      <alignment wrapText="1"/>
    </xf>
    <xf numFmtId="14" fontId="5" fillId="0" borderId="1" xfId="0" applyNumberFormat="1" applyFont="1" applyBorder="1" applyAlignment="1">
      <alignment horizontal="left"/>
    </xf>
    <xf numFmtId="166" fontId="5" fillId="0" borderId="1" xfId="0" applyNumberFormat="1" applyFont="1" applyBorder="1" applyAlignment="1">
      <alignment horizontal="center"/>
    </xf>
    <xf numFmtId="166" fontId="5" fillId="0" borderId="1" xfId="1" applyNumberFormat="1" applyFont="1" applyBorder="1" applyAlignment="1">
      <alignment horizontal="center"/>
    </xf>
    <xf numFmtId="166" fontId="7" fillId="0" borderId="1" xfId="1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left" vertical="top"/>
    </xf>
    <xf numFmtId="166" fontId="5" fillId="0" borderId="1" xfId="1" applyNumberFormat="1" applyFont="1" applyBorder="1" applyAlignment="1">
      <alignment horizontal="right"/>
    </xf>
    <xf numFmtId="0" fontId="8" fillId="0" borderId="1" xfId="0" applyFont="1" applyBorder="1"/>
    <xf numFmtId="164" fontId="0" fillId="0" borderId="1" xfId="1" applyFont="1" applyBorder="1"/>
    <xf numFmtId="166" fontId="8" fillId="0" borderId="1" xfId="1" applyNumberFormat="1" applyFont="1" applyBorder="1" applyAlignment="1">
      <alignment horizontal="center"/>
    </xf>
    <xf numFmtId="0" fontId="5" fillId="2" borderId="1" xfId="0" applyFont="1" applyFill="1" applyBorder="1"/>
    <xf numFmtId="166" fontId="5" fillId="2" borderId="1" xfId="0" applyNumberFormat="1" applyFont="1" applyFill="1" applyBorder="1" applyAlignment="1">
      <alignment horizontal="right"/>
    </xf>
    <xf numFmtId="166" fontId="5" fillId="2" borderId="1" xfId="0" applyNumberFormat="1" applyFont="1" applyFill="1" applyBorder="1" applyAlignment="1">
      <alignment horizontal="center"/>
    </xf>
    <xf numFmtId="14" fontId="5" fillId="2" borderId="1" xfId="0" applyNumberFormat="1" applyFont="1" applyFill="1" applyBorder="1"/>
    <xf numFmtId="166" fontId="5" fillId="2" borderId="1" xfId="1" applyNumberFormat="1" applyFont="1" applyFill="1" applyBorder="1" applyAlignment="1">
      <alignment horizontal="right"/>
    </xf>
    <xf numFmtId="166" fontId="5" fillId="2" borderId="1" xfId="1" applyNumberFormat="1" applyFont="1" applyFill="1" applyBorder="1"/>
    <xf numFmtId="166" fontId="5" fillId="2" borderId="1" xfId="0" applyNumberFormat="1" applyFont="1" applyFill="1" applyBorder="1"/>
    <xf numFmtId="0" fontId="3" fillId="0" borderId="1" xfId="0" applyFont="1" applyBorder="1" applyAlignment="1">
      <alignment horizontal="left"/>
    </xf>
    <xf numFmtId="0" fontId="1" fillId="2" borderId="1" xfId="0" applyFont="1" applyFill="1" applyBorder="1"/>
    <xf numFmtId="0" fontId="0" fillId="2" borderId="1" xfId="0" applyFill="1" applyBorder="1"/>
    <xf numFmtId="165" fontId="0" fillId="0" borderId="1" xfId="0" applyNumberFormat="1" applyBorder="1"/>
    <xf numFmtId="0" fontId="5" fillId="0" borderId="1" xfId="0" applyFont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164" fontId="2" fillId="0" borderId="1" xfId="1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3" xfId="0" applyFont="1" applyBorder="1" applyAlignment="1">
      <alignment horizontal="left" wrapText="1"/>
    </xf>
    <xf numFmtId="164" fontId="2" fillId="2" borderId="1" xfId="1" applyFont="1" applyFill="1" applyBorder="1" applyAlignment="1">
      <alignment horizontal="center"/>
    </xf>
    <xf numFmtId="166" fontId="2" fillId="2" borderId="1" xfId="1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wrapText="1"/>
    </xf>
    <xf numFmtId="166" fontId="0" fillId="0" borderId="4" xfId="1" applyNumberFormat="1" applyFont="1" applyBorder="1"/>
    <xf numFmtId="0" fontId="4" fillId="3" borderId="0" xfId="0" applyFont="1" applyFill="1"/>
    <xf numFmtId="164" fontId="0" fillId="3" borderId="0" xfId="1" applyFont="1" applyFill="1" applyBorder="1"/>
    <xf numFmtId="166" fontId="0" fillId="3" borderId="0" xfId="1" applyNumberFormat="1" applyFont="1" applyFill="1" applyBorder="1"/>
    <xf numFmtId="0" fontId="0" fillId="3" borderId="0" xfId="0" applyFill="1"/>
    <xf numFmtId="0" fontId="4" fillId="0" borderId="1" xfId="0" applyFont="1" applyBorder="1"/>
    <xf numFmtId="0" fontId="13" fillId="0" borderId="1" xfId="0" applyFont="1" applyBorder="1" applyAlignment="1">
      <alignment horizontal="justify" vertical="center"/>
    </xf>
    <xf numFmtId="0" fontId="14" fillId="0" borderId="1" xfId="0" applyFont="1" applyBorder="1" applyAlignment="1">
      <alignment horizontal="justify" vertical="center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17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5" fillId="0" borderId="0" xfId="0" applyFont="1"/>
    <xf numFmtId="166" fontId="5" fillId="0" borderId="0" xfId="0" applyNumberFormat="1" applyFont="1"/>
    <xf numFmtId="0" fontId="14" fillId="0" borderId="1" xfId="0" applyFont="1" applyBorder="1" applyAlignment="1">
      <alignment horizontal="justify" vertical="center" wrapText="1"/>
    </xf>
    <xf numFmtId="0" fontId="21" fillId="0" borderId="1" xfId="0" applyFont="1" applyBorder="1"/>
    <xf numFmtId="0" fontId="14" fillId="0" borderId="1" xfId="0" applyFont="1" applyBorder="1" applyAlignment="1">
      <alignment wrapText="1"/>
    </xf>
    <xf numFmtId="0" fontId="18" fillId="0" borderId="1" xfId="0" applyFont="1" applyBorder="1" applyAlignment="1">
      <alignment horizontal="justify" vertical="center" wrapText="1"/>
    </xf>
    <xf numFmtId="0" fontId="5" fillId="4" borderId="1" xfId="0" applyFont="1" applyFill="1" applyBorder="1" applyAlignment="1">
      <alignment horizontal="left" wrapText="1"/>
    </xf>
    <xf numFmtId="164" fontId="0" fillId="4" borderId="1" xfId="1" applyFont="1" applyFill="1" applyBorder="1"/>
    <xf numFmtId="166" fontId="0" fillId="4" borderId="1" xfId="1" applyNumberFormat="1" applyFont="1" applyFill="1" applyBorder="1"/>
    <xf numFmtId="0" fontId="1" fillId="4" borderId="1" xfId="0" applyFont="1" applyFill="1" applyBorder="1"/>
    <xf numFmtId="0" fontId="5" fillId="0" borderId="4" xfId="0" applyFont="1" applyBorder="1" applyAlignment="1">
      <alignment horizontal="left" vertical="top" wrapText="1"/>
    </xf>
    <xf numFmtId="166" fontId="5" fillId="0" borderId="1" xfId="1" applyNumberFormat="1" applyFont="1" applyFill="1" applyBorder="1" applyAlignment="1">
      <alignment wrapText="1"/>
    </xf>
    <xf numFmtId="0" fontId="5" fillId="0" borderId="1" xfId="0" applyFont="1" applyBorder="1" applyAlignment="1">
      <alignment horizontal="left" vertical="top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3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166" fontId="1" fillId="0" borderId="1" xfId="1" applyNumberFormat="1" applyFont="1" applyFill="1" applyBorder="1" applyAlignment="1">
      <alignment horizontal="right"/>
    </xf>
    <xf numFmtId="0" fontId="13" fillId="0" borderId="1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left" wrapText="1"/>
    </xf>
    <xf numFmtId="165" fontId="1" fillId="0" borderId="1" xfId="0" applyNumberFormat="1" applyFont="1" applyBorder="1" applyAlignment="1">
      <alignment horizontal="right"/>
    </xf>
    <xf numFmtId="0" fontId="13" fillId="4" borderId="1" xfId="0" applyFont="1" applyFill="1" applyBorder="1" applyAlignment="1">
      <alignment horizontal="justify" vertical="center"/>
    </xf>
    <xf numFmtId="0" fontId="14" fillId="4" borderId="1" xfId="0" applyFont="1" applyFill="1" applyBorder="1" applyAlignment="1">
      <alignment horizontal="justify" vertical="center" wrapText="1"/>
    </xf>
    <xf numFmtId="0" fontId="0" fillId="4" borderId="0" xfId="0" applyFill="1"/>
    <xf numFmtId="0" fontId="15" fillId="0" borderId="1" xfId="0" applyFont="1" applyBorder="1" applyAlignment="1">
      <alignment horizontal="justify" vertical="center"/>
    </xf>
    <xf numFmtId="166" fontId="1" fillId="0" borderId="1" xfId="1" applyNumberFormat="1" applyFont="1" applyFill="1" applyBorder="1"/>
    <xf numFmtId="0" fontId="11" fillId="0" borderId="1" xfId="0" applyFont="1" applyBorder="1" applyAlignment="1">
      <alignment horizontal="center"/>
    </xf>
    <xf numFmtId="0" fontId="0" fillId="0" borderId="4" xfId="0" applyBorder="1"/>
    <xf numFmtId="166" fontId="5" fillId="0" borderId="1" xfId="1" applyNumberFormat="1" applyFont="1" applyFill="1" applyBorder="1" applyAlignment="1">
      <alignment horizontal="right"/>
    </xf>
    <xf numFmtId="166" fontId="5" fillId="0" borderId="1" xfId="1" applyNumberFormat="1" applyFont="1" applyFill="1" applyBorder="1" applyAlignment="1">
      <alignment horizontal="center"/>
    </xf>
    <xf numFmtId="166" fontId="0" fillId="0" borderId="1" xfId="1" applyNumberFormat="1" applyFont="1" applyFill="1" applyBorder="1"/>
    <xf numFmtId="164" fontId="0" fillId="0" borderId="1" xfId="1" applyFont="1" applyFill="1" applyBorder="1"/>
    <xf numFmtId="166" fontId="0" fillId="0" borderId="0" xfId="1" applyNumberFormat="1" applyFont="1" applyFill="1" applyBorder="1"/>
    <xf numFmtId="164" fontId="0" fillId="0" borderId="0" xfId="1" applyFont="1" applyFill="1" applyBorder="1"/>
    <xf numFmtId="0" fontId="5" fillId="0" borderId="2" xfId="0" applyFont="1" applyBorder="1" applyAlignment="1">
      <alignment horizontal="left"/>
    </xf>
    <xf numFmtId="14" fontId="5" fillId="0" borderId="2" xfId="0" applyNumberFormat="1" applyFont="1" applyBorder="1" applyAlignment="1">
      <alignment horizontal="left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7" fillId="0" borderId="1" xfId="0" applyFont="1" applyBorder="1"/>
    <xf numFmtId="0" fontId="18" fillId="0" borderId="1" xfId="0" applyFont="1" applyBorder="1" applyAlignment="1">
      <alignment horizontal="left" wrapText="1"/>
    </xf>
    <xf numFmtId="0" fontId="17" fillId="0" borderId="0" xfId="0" applyFont="1"/>
    <xf numFmtId="0" fontId="18" fillId="0" borderId="1" xfId="0" applyFont="1" applyBorder="1" applyAlignment="1">
      <alignment horizontal="center" wrapText="1"/>
    </xf>
    <xf numFmtId="164" fontId="18" fillId="0" borderId="1" xfId="1" applyFont="1" applyBorder="1" applyAlignment="1">
      <alignment horizontal="left" wrapText="1"/>
    </xf>
    <xf numFmtId="0" fontId="1" fillId="0" borderId="4" xfId="0" applyFont="1" applyBorder="1"/>
    <xf numFmtId="0" fontId="2" fillId="0" borderId="1" xfId="0" applyFont="1" applyBorder="1"/>
    <xf numFmtId="0" fontId="3" fillId="0" borderId="2" xfId="0" applyFont="1" applyBorder="1" applyAlignment="1">
      <alignment wrapText="1"/>
    </xf>
    <xf numFmtId="168" fontId="0" fillId="0" borderId="0" xfId="0" applyNumberFormat="1"/>
    <xf numFmtId="2" fontId="0" fillId="0" borderId="0" xfId="0" applyNumberFormat="1"/>
    <xf numFmtId="168" fontId="1" fillId="0" borderId="1" xfId="0" applyNumberFormat="1" applyFont="1" applyBorder="1"/>
    <xf numFmtId="166" fontId="2" fillId="0" borderId="1" xfId="1" applyNumberFormat="1" applyFont="1" applyFill="1" applyBorder="1"/>
    <xf numFmtId="168" fontId="2" fillId="0" borderId="1" xfId="0" applyNumberFormat="1" applyFont="1" applyBorder="1"/>
    <xf numFmtId="0" fontId="23" fillId="0" borderId="0" xfId="0" applyFont="1"/>
    <xf numFmtId="166" fontId="2" fillId="0" borderId="1" xfId="1" applyNumberFormat="1" applyFont="1" applyBorder="1" applyAlignment="1">
      <alignment wrapText="1"/>
    </xf>
    <xf numFmtId="166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8" fontId="1" fillId="0" borderId="1" xfId="1" applyNumberFormat="1" applyFont="1" applyFill="1" applyBorder="1"/>
    <xf numFmtId="168" fontId="1" fillId="0" borderId="1" xfId="1" applyNumberFormat="1" applyFont="1" applyBorder="1"/>
    <xf numFmtId="168" fontId="1" fillId="0" borderId="1" xfId="1" applyNumberFormat="1" applyFont="1" applyFill="1" applyBorder="1" applyAlignment="1">
      <alignment wrapText="1"/>
    </xf>
    <xf numFmtId="168" fontId="1" fillId="0" borderId="1" xfId="1" applyNumberFormat="1" applyFont="1" applyBorder="1" applyAlignment="1">
      <alignment wrapText="1"/>
    </xf>
    <xf numFmtId="166" fontId="1" fillId="0" borderId="1" xfId="0" applyNumberFormat="1" applyFont="1" applyBorder="1"/>
    <xf numFmtId="166" fontId="1" fillId="0" borderId="0" xfId="0" applyNumberFormat="1" applyFont="1"/>
    <xf numFmtId="0" fontId="2" fillId="0" borderId="2" xfId="0" applyFont="1" applyBorder="1" applyAlignment="1">
      <alignment wrapText="1"/>
    </xf>
    <xf numFmtId="168" fontId="2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168" fontId="1" fillId="0" borderId="1" xfId="0" applyNumberFormat="1" applyFont="1" applyBorder="1" applyAlignment="1">
      <alignment wrapText="1"/>
    </xf>
    <xf numFmtId="0" fontId="1" fillId="0" borderId="2" xfId="0" applyFont="1" applyBorder="1" applyAlignment="1">
      <alignment wrapText="1"/>
    </xf>
    <xf numFmtId="10" fontId="0" fillId="0" borderId="0" xfId="0" applyNumberFormat="1"/>
    <xf numFmtId="0" fontId="1" fillId="0" borderId="2" xfId="0" applyFont="1" applyBorder="1"/>
    <xf numFmtId="168" fontId="25" fillId="0" borderId="1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horizontal="left"/>
    </xf>
    <xf numFmtId="166" fontId="1" fillId="0" borderId="1" xfId="1" applyNumberFormat="1" applyFont="1" applyBorder="1" applyAlignment="1">
      <alignment horizontal="right"/>
    </xf>
    <xf numFmtId="168" fontId="1" fillId="0" borderId="0" xfId="1" applyNumberFormat="1" applyFont="1" applyBorder="1"/>
    <xf numFmtId="168" fontId="1" fillId="0" borderId="0" xfId="0" applyNumberFormat="1" applyFont="1"/>
    <xf numFmtId="0" fontId="1" fillId="0" borderId="0" xfId="0" applyFont="1" applyAlignment="1">
      <alignment wrapText="1"/>
    </xf>
    <xf numFmtId="168" fontId="1" fillId="0" borderId="0" xfId="1" applyNumberFormat="1" applyFont="1" applyFill="1" applyBorder="1" applyAlignment="1">
      <alignment wrapText="1"/>
    </xf>
    <xf numFmtId="168" fontId="1" fillId="0" borderId="0" xfId="1" applyNumberFormat="1" applyFont="1" applyBorder="1" applyAlignment="1">
      <alignment wrapText="1"/>
    </xf>
    <xf numFmtId="0" fontId="2" fillId="0" borderId="0" xfId="0" applyFont="1" applyAlignment="1">
      <alignment wrapText="1"/>
    </xf>
    <xf numFmtId="168" fontId="2" fillId="0" borderId="0" xfId="0" applyNumberFormat="1" applyFont="1" applyAlignment="1">
      <alignment wrapText="1"/>
    </xf>
    <xf numFmtId="168" fontId="1" fillId="0" borderId="0" xfId="0" applyNumberFormat="1" applyFont="1" applyAlignment="1">
      <alignment wrapText="1"/>
    </xf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0" fillId="0" borderId="1" xfId="1" applyNumberFormat="1" applyFont="1" applyBorder="1"/>
    <xf numFmtId="2" fontId="0" fillId="0" borderId="1" xfId="0" applyNumberFormat="1" applyBorder="1"/>
    <xf numFmtId="2" fontId="1" fillId="0" borderId="1" xfId="0" applyNumberFormat="1" applyFont="1" applyBorder="1"/>
    <xf numFmtId="2" fontId="0" fillId="2" borderId="1" xfId="0" applyNumberFormat="1" applyFill="1" applyBorder="1"/>
    <xf numFmtId="0" fontId="2" fillId="0" borderId="1" xfId="0" applyFont="1" applyBorder="1" applyAlignment="1">
      <alignment wrapText="1"/>
    </xf>
    <xf numFmtId="168" fontId="2" fillId="0" borderId="1" xfId="1" applyNumberFormat="1" applyFont="1" applyFill="1" applyBorder="1"/>
    <xf numFmtId="166" fontId="2" fillId="0" borderId="1" xfId="1" applyNumberFormat="1" applyFont="1" applyBorder="1" applyAlignment="1">
      <alignment horizontal="right"/>
    </xf>
    <xf numFmtId="0" fontId="1" fillId="2" borderId="2" xfId="0" applyFont="1" applyFill="1" applyBorder="1" applyAlignment="1">
      <alignment wrapText="1"/>
    </xf>
    <xf numFmtId="168" fontId="1" fillId="2" borderId="1" xfId="0" applyNumberFormat="1" applyFont="1" applyFill="1" applyBorder="1" applyAlignment="1">
      <alignment wrapText="1"/>
    </xf>
    <xf numFmtId="168" fontId="25" fillId="2" borderId="1" xfId="0" applyNumberFormat="1" applyFont="1" applyFill="1" applyBorder="1" applyAlignment="1">
      <alignment wrapText="1"/>
    </xf>
    <xf numFmtId="168" fontId="1" fillId="2" borderId="1" xfId="0" applyNumberFormat="1" applyFont="1" applyFill="1" applyBorder="1"/>
    <xf numFmtId="14" fontId="5" fillId="2" borderId="1" xfId="0" applyNumberFormat="1" applyFont="1" applyFill="1" applyBorder="1" applyAlignment="1">
      <alignment horizontal="left"/>
    </xf>
    <xf numFmtId="166" fontId="7" fillId="2" borderId="1" xfId="1" applyNumberFormat="1" applyFont="1" applyFill="1" applyBorder="1" applyAlignment="1">
      <alignment horizontal="center"/>
    </xf>
    <xf numFmtId="166" fontId="2" fillId="0" borderId="1" xfId="1" applyNumberFormat="1" applyFont="1" applyFill="1" applyBorder="1" applyAlignment="1">
      <alignment horizontal="center"/>
    </xf>
    <xf numFmtId="168" fontId="2" fillId="0" borderId="1" xfId="0" applyNumberFormat="1" applyFont="1" applyBorder="1" applyAlignment="1">
      <alignment horizontal="center" wrapText="1"/>
    </xf>
    <xf numFmtId="168" fontId="2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horizontal="left" vertical="top" wrapText="1"/>
    </xf>
    <xf numFmtId="0" fontId="26" fillId="0" borderId="2" xfId="0" applyFont="1" applyBorder="1" applyAlignment="1">
      <alignment horizontal="left" vertical="top" wrapText="1"/>
    </xf>
    <xf numFmtId="165" fontId="1" fillId="0" borderId="1" xfId="0" applyNumberFormat="1" applyFont="1" applyBorder="1"/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 wrapText="1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168" fontId="2" fillId="0" borderId="0" xfId="0" applyNumberFormat="1" applyFont="1"/>
    <xf numFmtId="0" fontId="11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166" fontId="1" fillId="0" borderId="0" xfId="1" applyNumberFormat="1" applyFont="1" applyBorder="1"/>
    <xf numFmtId="164" fontId="1" fillId="0" borderId="0" xfId="1" applyFont="1" applyBorder="1"/>
    <xf numFmtId="0" fontId="7" fillId="0" borderId="1" xfId="0" applyFont="1" applyBorder="1" applyAlignment="1">
      <alignment horizontal="center"/>
    </xf>
    <xf numFmtId="166" fontId="1" fillId="0" borderId="6" xfId="1" applyNumberFormat="1" applyFont="1" applyBorder="1" applyAlignment="1">
      <alignment wrapText="1"/>
    </xf>
    <xf numFmtId="14" fontId="1" fillId="0" borderId="2" xfId="0" applyNumberFormat="1" applyFont="1" applyBorder="1" applyAlignment="1">
      <alignment horizontal="left" wrapText="1"/>
    </xf>
    <xf numFmtId="14" fontId="1" fillId="0" borderId="9" xfId="0" applyNumberFormat="1" applyFont="1" applyBorder="1" applyAlignment="1">
      <alignment horizontal="left" wrapText="1"/>
    </xf>
    <xf numFmtId="166" fontId="2" fillId="0" borderId="6" xfId="1" applyNumberFormat="1" applyFont="1" applyBorder="1" applyAlignment="1">
      <alignment wrapText="1"/>
    </xf>
    <xf numFmtId="14" fontId="1" fillId="0" borderId="7" xfId="0" applyNumberFormat="1" applyFont="1" applyBorder="1" applyAlignment="1">
      <alignment horizontal="left" wrapText="1"/>
    </xf>
    <xf numFmtId="0" fontId="1" fillId="0" borderId="8" xfId="0" applyFont="1" applyBorder="1"/>
    <xf numFmtId="166" fontId="2" fillId="0" borderId="8" xfId="1" applyNumberFormat="1" applyFont="1" applyBorder="1" applyAlignment="1">
      <alignment wrapText="1"/>
    </xf>
    <xf numFmtId="0" fontId="1" fillId="0" borderId="2" xfId="0" applyFont="1" applyBorder="1" applyAlignment="1">
      <alignment horizontal="left"/>
    </xf>
    <xf numFmtId="0" fontId="7" fillId="0" borderId="1" xfId="0" applyFont="1" applyBorder="1"/>
    <xf numFmtId="166" fontId="0" fillId="0" borderId="1" xfId="0" applyNumberFormat="1" applyBorder="1"/>
    <xf numFmtId="0" fontId="2" fillId="0" borderId="2" xfId="0" applyFont="1" applyBorder="1"/>
    <xf numFmtId="168" fontId="2" fillId="0" borderId="1" xfId="1" applyNumberFormat="1" applyFont="1" applyBorder="1" applyAlignment="1">
      <alignment wrapText="1"/>
    </xf>
    <xf numFmtId="14" fontId="2" fillId="0" borderId="2" xfId="0" applyNumberFormat="1" applyFont="1" applyBorder="1" applyAlignment="1">
      <alignment horizontal="left" wrapText="1"/>
    </xf>
    <xf numFmtId="166" fontId="2" fillId="0" borderId="5" xfId="1" applyNumberFormat="1" applyFont="1" applyBorder="1" applyAlignment="1">
      <alignment wrapText="1"/>
    </xf>
    <xf numFmtId="166" fontId="1" fillId="0" borderId="5" xfId="1" applyNumberFormat="1" applyFont="1" applyBorder="1" applyAlignment="1">
      <alignment wrapText="1"/>
    </xf>
    <xf numFmtId="0" fontId="1" fillId="0" borderId="10" xfId="0" applyFont="1" applyBorder="1" applyAlignment="1">
      <alignment wrapText="1"/>
    </xf>
    <xf numFmtId="168" fontId="1" fillId="0" borderId="1" xfId="0" applyNumberFormat="1" applyFont="1" applyBorder="1" applyAlignment="1">
      <alignment horizontal="right"/>
    </xf>
    <xf numFmtId="168" fontId="3" fillId="0" borderId="1" xfId="0" applyNumberFormat="1" applyFont="1" applyBorder="1" applyAlignment="1">
      <alignment wrapText="1"/>
    </xf>
    <xf numFmtId="168" fontId="1" fillId="2" borderId="1" xfId="1" applyNumberFormat="1" applyFont="1" applyFill="1" applyBorder="1"/>
    <xf numFmtId="168" fontId="0" fillId="0" borderId="0" xfId="1" applyNumberFormat="1" applyFont="1" applyBorder="1"/>
    <xf numFmtId="168" fontId="2" fillId="0" borderId="0" xfId="1" applyNumberFormat="1" applyFont="1" applyBorder="1"/>
    <xf numFmtId="0" fontId="27" fillId="0" borderId="0" xfId="0" applyFont="1"/>
    <xf numFmtId="0" fontId="27" fillId="0" borderId="1" xfId="0" applyFont="1" applyBorder="1"/>
    <xf numFmtId="0" fontId="0" fillId="0" borderId="1" xfId="0" applyBorder="1" applyAlignment="1">
      <alignment horizontal="left"/>
    </xf>
    <xf numFmtId="167" fontId="15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167" fontId="16" fillId="0" borderId="1" xfId="0" applyNumberFormat="1" applyFont="1" applyBorder="1" applyAlignment="1">
      <alignment horizontal="left" vertical="center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9" fontId="18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165" fontId="1" fillId="0" borderId="0" xfId="0" applyNumberFormat="1" applyFont="1"/>
    <xf numFmtId="169" fontId="7" fillId="0" borderId="1" xfId="0" applyNumberFormat="1" applyFont="1" applyBorder="1" applyAlignment="1">
      <alignment horizontal="center"/>
    </xf>
    <xf numFmtId="170" fontId="0" fillId="0" borderId="1" xfId="0" applyNumberFormat="1" applyBorder="1"/>
    <xf numFmtId="170" fontId="0" fillId="0" borderId="0" xfId="0" applyNumberFormat="1"/>
    <xf numFmtId="170" fontId="1" fillId="0" borderId="1" xfId="0" applyNumberFormat="1" applyFont="1" applyBorder="1" applyAlignment="1">
      <alignment wrapText="1"/>
    </xf>
    <xf numFmtId="170" fontId="1" fillId="0" borderId="1" xfId="0" applyNumberFormat="1" applyFont="1" applyBorder="1"/>
    <xf numFmtId="170" fontId="2" fillId="0" borderId="1" xfId="0" applyNumberFormat="1" applyFont="1" applyBorder="1" applyAlignment="1">
      <alignment wrapText="1"/>
    </xf>
    <xf numFmtId="169" fontId="25" fillId="0" borderId="1" xfId="0" applyNumberFormat="1" applyFont="1" applyBorder="1"/>
    <xf numFmtId="169" fontId="25" fillId="0" borderId="0" xfId="0" applyNumberFormat="1" applyFont="1"/>
    <xf numFmtId="169" fontId="30" fillId="0" borderId="1" xfId="0" applyNumberFormat="1" applyFont="1" applyBorder="1" applyAlignment="1">
      <alignment horizontal="center"/>
    </xf>
    <xf numFmtId="169" fontId="27" fillId="0" borderId="1" xfId="0" applyNumberFormat="1" applyFont="1" applyBorder="1"/>
    <xf numFmtId="169" fontId="27" fillId="0" borderId="0" xfId="0" applyNumberFormat="1" applyFont="1"/>
    <xf numFmtId="169" fontId="31" fillId="0" borderId="1" xfId="0" applyNumberFormat="1" applyFont="1" applyBorder="1"/>
    <xf numFmtId="169" fontId="31" fillId="0" borderId="0" xfId="0" applyNumberFormat="1" applyFont="1"/>
    <xf numFmtId="170" fontId="25" fillId="0" borderId="1" xfId="0" applyNumberFormat="1" applyFont="1" applyBorder="1"/>
    <xf numFmtId="169" fontId="31" fillId="0" borderId="1" xfId="0" applyNumberFormat="1" applyFont="1" applyBorder="1" applyAlignment="1">
      <alignment horizontal="center"/>
    </xf>
    <xf numFmtId="170" fontId="0" fillId="0" borderId="4" xfId="0" applyNumberFormat="1" applyBorder="1"/>
    <xf numFmtId="170" fontId="0" fillId="0" borderId="8" xfId="0" applyNumberFormat="1" applyBorder="1"/>
    <xf numFmtId="170" fontId="2" fillId="0" borderId="8" xfId="0" applyNumberFormat="1" applyFont="1" applyBorder="1" applyAlignment="1">
      <alignment wrapText="1"/>
    </xf>
    <xf numFmtId="170" fontId="0" fillId="0" borderId="11" xfId="0" applyNumberFormat="1" applyBorder="1"/>
    <xf numFmtId="170" fontId="1" fillId="0" borderId="12" xfId="0" applyNumberFormat="1" applyFont="1" applyBorder="1"/>
    <xf numFmtId="170" fontId="0" fillId="0" borderId="12" xfId="0" applyNumberFormat="1" applyBorder="1"/>
    <xf numFmtId="170" fontId="0" fillId="0" borderId="13" xfId="0" applyNumberFormat="1" applyBorder="1"/>
    <xf numFmtId="170" fontId="0" fillId="0" borderId="14" xfId="0" applyNumberFormat="1" applyBorder="1"/>
    <xf numFmtId="170" fontId="0" fillId="0" borderId="15" xfId="0" applyNumberFormat="1" applyBorder="1"/>
    <xf numFmtId="170" fontId="0" fillId="0" borderId="16" xfId="0" applyNumberFormat="1" applyBorder="1"/>
    <xf numFmtId="170" fontId="0" fillId="0" borderId="17" xfId="0" applyNumberFormat="1" applyBorder="1"/>
    <xf numFmtId="170" fontId="0" fillId="0" borderId="18" xfId="0" applyNumberFormat="1" applyBorder="1"/>
    <xf numFmtId="170" fontId="2" fillId="0" borderId="6" xfId="0" applyNumberFormat="1" applyFont="1" applyBorder="1" applyAlignment="1">
      <alignment wrapText="1"/>
    </xf>
    <xf numFmtId="170" fontId="0" fillId="0" borderId="6" xfId="0" applyNumberFormat="1" applyBorder="1"/>
    <xf numFmtId="170" fontId="0" fillId="0" borderId="19" xfId="0" applyNumberFormat="1" applyBorder="1"/>
    <xf numFmtId="170" fontId="0" fillId="0" borderId="20" xfId="0" applyNumberFormat="1" applyBorder="1"/>
    <xf numFmtId="169" fontId="31" fillId="0" borderId="21" xfId="0" applyNumberFormat="1" applyFont="1" applyBorder="1"/>
    <xf numFmtId="169" fontId="31" fillId="0" borderId="3" xfId="0" applyNumberFormat="1" applyFont="1" applyBorder="1"/>
    <xf numFmtId="169" fontId="31" fillId="0" borderId="22" xfId="0" applyNumberFormat="1" applyFont="1" applyBorder="1"/>
    <xf numFmtId="170" fontId="2" fillId="0" borderId="1" xfId="0" applyNumberFormat="1" applyFont="1" applyBorder="1"/>
    <xf numFmtId="170" fontId="1" fillId="0" borderId="15" xfId="0" applyNumberFormat="1" applyFont="1" applyBorder="1"/>
    <xf numFmtId="170" fontId="1" fillId="0" borderId="6" xfId="0" applyNumberFormat="1" applyFont="1" applyBorder="1" applyAlignment="1">
      <alignment wrapText="1"/>
    </xf>
    <xf numFmtId="169" fontId="31" fillId="0" borderId="3" xfId="0" applyNumberFormat="1" applyFont="1" applyBorder="1" applyAlignment="1">
      <alignment horizontal="center"/>
    </xf>
    <xf numFmtId="169" fontId="31" fillId="0" borderId="23" xfId="0" applyNumberFormat="1" applyFont="1" applyBorder="1"/>
    <xf numFmtId="169" fontId="31" fillId="0" borderId="4" xfId="0" applyNumberFormat="1" applyFont="1" applyBorder="1"/>
    <xf numFmtId="169" fontId="31" fillId="0" borderId="24" xfId="0" applyNumberFormat="1" applyFont="1" applyBorder="1"/>
    <xf numFmtId="0" fontId="5" fillId="2" borderId="1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1" fillId="0" borderId="0" xfId="0" applyFont="1"/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166" fontId="7" fillId="0" borderId="2" xfId="1" applyNumberFormat="1" applyFont="1" applyBorder="1" applyAlignment="1">
      <alignment horizontal="center"/>
    </xf>
    <xf numFmtId="166" fontId="7" fillId="0" borderId="4" xfId="1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19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0" fillId="2" borderId="1" xfId="0" applyFill="1" applyBorder="1" applyAlignment="1">
      <alignment horizontal="center"/>
    </xf>
    <xf numFmtId="0" fontId="5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wrapText="1"/>
    </xf>
    <xf numFmtId="0" fontId="5" fillId="4" borderId="2" xfId="0" applyFont="1" applyFill="1" applyBorder="1" applyAlignment="1">
      <alignment horizontal="left" wrapText="1"/>
    </xf>
    <xf numFmtId="0" fontId="5" fillId="4" borderId="3" xfId="0" applyFont="1" applyFill="1" applyBorder="1" applyAlignment="1">
      <alignment horizontal="left" wrapText="1"/>
    </xf>
    <xf numFmtId="0" fontId="5" fillId="4" borderId="4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left" wrapText="1"/>
    </xf>
    <xf numFmtId="0" fontId="5" fillId="2" borderId="4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5" fillId="0" borderId="3" xfId="0" applyFont="1" applyBorder="1" applyAlignment="1">
      <alignment horizontal="left" wrapText="1"/>
    </xf>
    <xf numFmtId="0" fontId="3" fillId="0" borderId="2" xfId="0" applyFont="1" applyBorder="1" applyAlignment="1">
      <alignment wrapText="1"/>
    </xf>
    <xf numFmtId="0" fontId="0" fillId="0" borderId="4" xfId="0" applyBorder="1" applyAlignment="1">
      <alignment wrapText="1"/>
    </xf>
    <xf numFmtId="165" fontId="0" fillId="0" borderId="2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10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167" fontId="0" fillId="0" borderId="2" xfId="0" applyNumberForma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10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166" fontId="1" fillId="0" borderId="2" xfId="1" applyNumberFormat="1" applyFont="1" applyBorder="1" applyAlignment="1">
      <alignment horizontal="center" wrapText="1"/>
    </xf>
    <xf numFmtId="166" fontId="1" fillId="0" borderId="4" xfId="1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left" vertical="center" wrapText="1"/>
    </xf>
    <xf numFmtId="166" fontId="0" fillId="0" borderId="2" xfId="1" applyNumberFormat="1" applyFont="1" applyBorder="1" applyAlignment="1">
      <alignment horizontal="center"/>
    </xf>
    <xf numFmtId="166" fontId="0" fillId="0" borderId="4" xfId="1" applyNumberFormat="1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4" fillId="0" borderId="1" xfId="0" applyFont="1" applyBorder="1" applyAlignment="1">
      <alignment horizontal="center"/>
    </xf>
  </cellXfs>
  <cellStyles count="4">
    <cellStyle name="Euro" xfId="1" xr:uid="{00000000-0005-0000-0000-000000000000}"/>
    <cellStyle name="Normale" xfId="0" builtinId="0"/>
    <cellStyle name="Normale 2" xfId="2" xr:uid="{00000000-0005-0000-0000-000002000000}"/>
    <cellStyle name="Percentuale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opLeftCell="A10" workbookViewId="0">
      <selection activeCell="F31" sqref="F31"/>
    </sheetView>
  </sheetViews>
  <sheetFormatPr defaultColWidth="8.85546875" defaultRowHeight="12.75" x14ac:dyDescent="0.2"/>
  <cols>
    <col min="1" max="1" width="42.42578125" customWidth="1"/>
    <col min="2" max="2" width="26.28515625" style="12" customWidth="1"/>
    <col min="3" max="3" width="23.140625" style="2" customWidth="1"/>
    <col min="4" max="4" width="10.140625" style="12" customWidth="1"/>
    <col min="5" max="5" width="10.85546875" bestFit="1" customWidth="1"/>
  </cols>
  <sheetData>
    <row r="1" spans="1:4" ht="26.25" customHeight="1" x14ac:dyDescent="0.4">
      <c r="A1" s="279" t="s">
        <v>0</v>
      </c>
      <c r="B1" s="279"/>
      <c r="C1" s="279"/>
      <c r="D1" s="279"/>
    </row>
    <row r="2" spans="1:4" ht="15" x14ac:dyDescent="0.2">
      <c r="A2" s="23"/>
      <c r="B2" s="26" t="s">
        <v>12</v>
      </c>
      <c r="C2" s="26" t="s">
        <v>1</v>
      </c>
      <c r="D2" s="26"/>
    </row>
    <row r="3" spans="1:4" ht="18.75" customHeight="1" x14ac:dyDescent="0.2">
      <c r="A3" s="27" t="s">
        <v>29</v>
      </c>
      <c r="B3" s="18"/>
      <c r="C3" s="20"/>
      <c r="D3" s="18"/>
    </row>
    <row r="4" spans="1:4" ht="14.25" customHeight="1" x14ac:dyDescent="0.2">
      <c r="A4" s="19" t="s">
        <v>6</v>
      </c>
      <c r="B4" s="18">
        <v>110</v>
      </c>
      <c r="C4" s="28">
        <v>120</v>
      </c>
      <c r="D4" s="24" t="s">
        <v>105</v>
      </c>
    </row>
    <row r="5" spans="1:4" ht="15" x14ac:dyDescent="0.2">
      <c r="A5" s="17" t="s">
        <v>2</v>
      </c>
      <c r="B5" s="18">
        <v>120</v>
      </c>
      <c r="C5" s="28">
        <v>140</v>
      </c>
      <c r="D5" s="24" t="s">
        <v>105</v>
      </c>
    </row>
    <row r="6" spans="1:4" ht="15" x14ac:dyDescent="0.2">
      <c r="A6" s="17" t="s">
        <v>3</v>
      </c>
      <c r="B6" s="18">
        <v>130</v>
      </c>
      <c r="C6" s="18">
        <v>150</v>
      </c>
      <c r="D6" s="24" t="s">
        <v>105</v>
      </c>
    </row>
    <row r="7" spans="1:4" ht="15" x14ac:dyDescent="0.2">
      <c r="A7" s="17" t="s">
        <v>7</v>
      </c>
      <c r="B7" s="18">
        <v>160</v>
      </c>
      <c r="C7" s="18">
        <v>180</v>
      </c>
      <c r="D7" s="24" t="s">
        <v>105</v>
      </c>
    </row>
    <row r="8" spans="1:4" ht="6.75" customHeight="1" x14ac:dyDescent="0.2">
      <c r="A8" s="32"/>
      <c r="B8" s="33"/>
      <c r="C8" s="33"/>
      <c r="D8" s="34"/>
    </row>
    <row r="9" spans="1:4" ht="15" x14ac:dyDescent="0.2">
      <c r="A9" s="17" t="s">
        <v>4</v>
      </c>
      <c r="B9" s="18">
        <v>100</v>
      </c>
      <c r="C9" s="18">
        <v>120</v>
      </c>
      <c r="D9" s="24" t="s">
        <v>105</v>
      </c>
    </row>
    <row r="10" spans="1:4" ht="15" x14ac:dyDescent="0.2">
      <c r="A10" s="17" t="s">
        <v>5</v>
      </c>
      <c r="B10" s="18">
        <v>120</v>
      </c>
      <c r="C10" s="28">
        <v>130</v>
      </c>
      <c r="D10" s="24" t="s">
        <v>105</v>
      </c>
    </row>
    <row r="11" spans="1:4" ht="15" x14ac:dyDescent="0.2">
      <c r="A11" s="19" t="s">
        <v>8</v>
      </c>
      <c r="B11" s="18">
        <v>150</v>
      </c>
      <c r="C11" s="28">
        <v>160</v>
      </c>
      <c r="D11" s="24" t="s">
        <v>105</v>
      </c>
    </row>
    <row r="12" spans="1:4" ht="6" customHeight="1" x14ac:dyDescent="0.2">
      <c r="A12" s="35"/>
      <c r="B12" s="34"/>
      <c r="C12" s="36"/>
      <c r="D12" s="34"/>
    </row>
    <row r="13" spans="1:4" ht="15" x14ac:dyDescent="0.2">
      <c r="A13" s="17"/>
      <c r="B13" s="18"/>
      <c r="C13" s="18"/>
      <c r="D13" s="24"/>
    </row>
    <row r="14" spans="1:4" ht="15" x14ac:dyDescent="0.2">
      <c r="A14" s="17" t="s">
        <v>118</v>
      </c>
      <c r="B14" s="24"/>
      <c r="C14" s="28">
        <v>85</v>
      </c>
      <c r="D14" s="24" t="s">
        <v>119</v>
      </c>
    </row>
    <row r="15" spans="1:4" ht="7.5" customHeight="1" x14ac:dyDescent="0.2">
      <c r="A15" s="32"/>
      <c r="B15" s="34"/>
      <c r="C15" s="34"/>
      <c r="D15" s="34"/>
    </row>
    <row r="16" spans="1:4" ht="18" x14ac:dyDescent="0.25">
      <c r="A16" s="29" t="s">
        <v>13</v>
      </c>
      <c r="B16" s="24"/>
      <c r="C16" s="25"/>
      <c r="D16" s="24"/>
    </row>
    <row r="17" spans="1:4" ht="17.25" customHeight="1" x14ac:dyDescent="0.2">
      <c r="A17" s="27" t="s">
        <v>29</v>
      </c>
      <c r="B17" s="18"/>
      <c r="C17" s="20"/>
      <c r="D17" s="18"/>
    </row>
    <row r="18" spans="1:4" ht="15" x14ac:dyDescent="0.2">
      <c r="A18" s="19" t="s">
        <v>16</v>
      </c>
      <c r="B18" s="18">
        <v>220</v>
      </c>
      <c r="C18" s="28">
        <v>240</v>
      </c>
      <c r="D18" s="24" t="s">
        <v>522</v>
      </c>
    </row>
    <row r="19" spans="1:4" ht="15" x14ac:dyDescent="0.2">
      <c r="A19" s="17" t="s">
        <v>17</v>
      </c>
      <c r="B19" s="18">
        <v>220</v>
      </c>
      <c r="C19" s="18">
        <v>240</v>
      </c>
      <c r="D19" s="24" t="s">
        <v>523</v>
      </c>
    </row>
    <row r="20" spans="1:4" ht="15" x14ac:dyDescent="0.2">
      <c r="A20" s="17" t="s">
        <v>18</v>
      </c>
      <c r="B20" s="18">
        <v>240</v>
      </c>
      <c r="C20" s="18">
        <v>260</v>
      </c>
      <c r="D20" s="24" t="s">
        <v>523</v>
      </c>
    </row>
    <row r="21" spans="1:4" ht="15" x14ac:dyDescent="0.2">
      <c r="A21" s="17" t="s">
        <v>19</v>
      </c>
      <c r="B21" s="18" t="s">
        <v>520</v>
      </c>
      <c r="C21" s="18"/>
      <c r="D21" s="24" t="s">
        <v>523</v>
      </c>
    </row>
    <row r="22" spans="1:4" ht="7.5" customHeight="1" x14ac:dyDescent="0.2">
      <c r="A22" s="17"/>
      <c r="B22" s="18"/>
      <c r="C22" s="18"/>
      <c r="D22" s="34"/>
    </row>
    <row r="23" spans="1:4" ht="15" x14ac:dyDescent="0.2">
      <c r="A23" s="17" t="s">
        <v>20</v>
      </c>
      <c r="B23" s="18">
        <v>220</v>
      </c>
      <c r="C23" s="18">
        <v>240</v>
      </c>
      <c r="D23" s="24" t="s">
        <v>523</v>
      </c>
    </row>
    <row r="24" spans="1:4" ht="15" x14ac:dyDescent="0.2">
      <c r="A24" s="19" t="s">
        <v>21</v>
      </c>
      <c r="B24" s="18">
        <v>220</v>
      </c>
      <c r="C24" s="101">
        <v>240</v>
      </c>
      <c r="D24" s="24" t="s">
        <v>523</v>
      </c>
    </row>
    <row r="25" spans="1:4" ht="15" x14ac:dyDescent="0.2">
      <c r="A25" s="19" t="s">
        <v>22</v>
      </c>
      <c r="B25" s="18" t="s">
        <v>520</v>
      </c>
      <c r="C25" s="101" t="s">
        <v>521</v>
      </c>
      <c r="D25" s="24" t="s">
        <v>523</v>
      </c>
    </row>
    <row r="26" spans="1:4" ht="15" x14ac:dyDescent="0.2">
      <c r="A26" s="19" t="s">
        <v>14</v>
      </c>
      <c r="B26" s="18" t="s">
        <v>520</v>
      </c>
      <c r="C26" s="101">
        <v>320</v>
      </c>
      <c r="D26" s="24" t="s">
        <v>523</v>
      </c>
    </row>
    <row r="27" spans="1:4" ht="15" x14ac:dyDescent="0.2">
      <c r="A27" s="19" t="s">
        <v>15</v>
      </c>
      <c r="B27" s="18" t="s">
        <v>520</v>
      </c>
      <c r="C27" s="101">
        <v>400</v>
      </c>
      <c r="D27" s="24" t="s">
        <v>523</v>
      </c>
    </row>
    <row r="28" spans="1:4" ht="8.25" customHeight="1" x14ac:dyDescent="0.2">
      <c r="A28" s="19"/>
      <c r="B28" s="24"/>
      <c r="C28" s="101"/>
      <c r="D28" s="34"/>
    </row>
    <row r="29" spans="1:4" ht="18" x14ac:dyDescent="0.25">
      <c r="A29" s="29" t="s">
        <v>25</v>
      </c>
      <c r="B29" s="24"/>
      <c r="C29" s="24"/>
      <c r="D29" s="24"/>
    </row>
    <row r="30" spans="1:4" ht="15" x14ac:dyDescent="0.2">
      <c r="A30" s="17" t="s">
        <v>23</v>
      </c>
      <c r="B30" s="18">
        <v>75</v>
      </c>
      <c r="C30" s="18">
        <v>85</v>
      </c>
      <c r="D30" s="24"/>
    </row>
    <row r="31" spans="1:4" ht="15" x14ac:dyDescent="0.2">
      <c r="A31" s="17" t="s">
        <v>24</v>
      </c>
      <c r="B31" s="18">
        <v>75</v>
      </c>
      <c r="C31" s="101">
        <v>85</v>
      </c>
      <c r="D31" s="24"/>
    </row>
    <row r="32" spans="1:4" ht="6.75" customHeight="1" x14ac:dyDescent="0.2">
      <c r="A32" s="17"/>
      <c r="B32" s="24"/>
      <c r="C32" s="102"/>
      <c r="D32" s="34"/>
    </row>
    <row r="33" spans="1:4" ht="15" x14ac:dyDescent="0.2">
      <c r="A33" s="17" t="s">
        <v>26</v>
      </c>
      <c r="B33" s="101"/>
      <c r="C33" s="101">
        <v>3</v>
      </c>
      <c r="D33" s="3"/>
    </row>
    <row r="34" spans="1:4" ht="15" x14ac:dyDescent="0.2">
      <c r="A34" s="17" t="s">
        <v>27</v>
      </c>
      <c r="B34" s="101">
        <v>60</v>
      </c>
      <c r="C34" s="101">
        <v>6</v>
      </c>
      <c r="D34" s="3"/>
    </row>
    <row r="35" spans="1:4" ht="15" x14ac:dyDescent="0.2">
      <c r="A35" s="17" t="s">
        <v>28</v>
      </c>
      <c r="B35" s="101"/>
      <c r="C35" s="101">
        <v>16</v>
      </c>
      <c r="D35" s="3" t="s">
        <v>106</v>
      </c>
    </row>
    <row r="36" spans="1:4" ht="18" x14ac:dyDescent="0.25">
      <c r="A36" s="29" t="s">
        <v>115</v>
      </c>
      <c r="B36" s="103"/>
      <c r="C36" s="104"/>
      <c r="D36" s="3"/>
    </row>
    <row r="37" spans="1:4" ht="15" x14ac:dyDescent="0.2">
      <c r="A37" s="280" t="s">
        <v>121</v>
      </c>
      <c r="B37" s="281"/>
      <c r="C37" s="101" t="s">
        <v>116</v>
      </c>
      <c r="D37" s="3" t="s">
        <v>117</v>
      </c>
    </row>
    <row r="38" spans="1:4" x14ac:dyDescent="0.2">
      <c r="A38" s="69"/>
      <c r="B38" s="105"/>
      <c r="C38" s="106"/>
      <c r="D38" s="6"/>
    </row>
    <row r="39" spans="1:4" x14ac:dyDescent="0.2">
      <c r="A39" s="4"/>
      <c r="B39" s="6"/>
      <c r="C39" s="5"/>
      <c r="D39" s="6"/>
    </row>
    <row r="40" spans="1:4" x14ac:dyDescent="0.2">
      <c r="A40" s="4"/>
      <c r="B40" s="6"/>
      <c r="C40" s="5"/>
      <c r="D40" s="6"/>
    </row>
    <row r="41" spans="1:4" x14ac:dyDescent="0.2">
      <c r="A41" s="4"/>
      <c r="B41" s="6"/>
      <c r="C41" s="5"/>
      <c r="D41" s="6"/>
    </row>
    <row r="42" spans="1:4" x14ac:dyDescent="0.2">
      <c r="A42" s="7"/>
      <c r="B42" s="6"/>
      <c r="C42" s="5"/>
      <c r="D42" s="6"/>
    </row>
    <row r="43" spans="1:4" x14ac:dyDescent="0.2">
      <c r="A43" s="7"/>
      <c r="B43" s="6"/>
      <c r="C43" s="5"/>
      <c r="D43" s="6"/>
    </row>
    <row r="44" spans="1:4" x14ac:dyDescent="0.2">
      <c r="A44" s="4"/>
      <c r="B44" s="6"/>
      <c r="C44" s="5"/>
      <c r="D44" s="6"/>
    </row>
    <row r="45" spans="1:4" x14ac:dyDescent="0.2">
      <c r="A45" s="4"/>
      <c r="B45" s="6"/>
      <c r="C45" s="5"/>
      <c r="D45" s="6"/>
    </row>
    <row r="46" spans="1:4" x14ac:dyDescent="0.2">
      <c r="A46" s="4"/>
      <c r="B46" s="6"/>
      <c r="C46" s="5"/>
      <c r="D46" s="6"/>
    </row>
    <row r="47" spans="1:4" x14ac:dyDescent="0.2">
      <c r="A47" s="4"/>
      <c r="B47" s="6"/>
      <c r="C47" s="5"/>
      <c r="D47" s="6"/>
    </row>
    <row r="48" spans="1:4" x14ac:dyDescent="0.2">
      <c r="A48" s="7"/>
      <c r="B48" s="6"/>
      <c r="C48" s="5"/>
      <c r="D48" s="6"/>
    </row>
    <row r="49" spans="1:4" x14ac:dyDescent="0.2">
      <c r="A49" s="7"/>
      <c r="B49" s="6"/>
      <c r="C49" s="5"/>
      <c r="D49" s="6"/>
    </row>
    <row r="50" spans="1:4" x14ac:dyDescent="0.2">
      <c r="A50" s="4"/>
      <c r="B50" s="6"/>
      <c r="C50" s="5"/>
      <c r="D50" s="6"/>
    </row>
    <row r="51" spans="1:4" x14ac:dyDescent="0.2">
      <c r="A51" s="4"/>
      <c r="B51" s="6"/>
      <c r="C51" s="5"/>
      <c r="D51" s="6"/>
    </row>
    <row r="52" spans="1:4" x14ac:dyDescent="0.2">
      <c r="A52" s="4"/>
      <c r="B52" s="6"/>
      <c r="C52" s="5"/>
      <c r="D52" s="6"/>
    </row>
    <row r="53" spans="1:4" x14ac:dyDescent="0.2">
      <c r="A53" s="4"/>
      <c r="B53" s="6"/>
      <c r="C53" s="5"/>
      <c r="D53" s="6"/>
    </row>
    <row r="54" spans="1:4" x14ac:dyDescent="0.2">
      <c r="A54" s="4"/>
      <c r="B54" s="6"/>
      <c r="C54" s="5"/>
      <c r="D54" s="6"/>
    </row>
    <row r="55" spans="1:4" x14ac:dyDescent="0.2">
      <c r="A55" s="4"/>
      <c r="B55" s="6"/>
      <c r="C55" s="5"/>
      <c r="D55" s="6"/>
    </row>
    <row r="56" spans="1:4" x14ac:dyDescent="0.2">
      <c r="A56" s="4"/>
      <c r="B56" s="6"/>
      <c r="C56" s="5"/>
      <c r="D56" s="6"/>
    </row>
    <row r="57" spans="1:4" x14ac:dyDescent="0.2">
      <c r="A57" s="4"/>
      <c r="B57" s="6"/>
      <c r="C57" s="5"/>
      <c r="D57" s="6"/>
    </row>
    <row r="58" spans="1:4" x14ac:dyDescent="0.2">
      <c r="A58" s="4"/>
      <c r="B58" s="6"/>
      <c r="C58" s="5"/>
      <c r="D58" s="6"/>
    </row>
    <row r="59" spans="1:4" x14ac:dyDescent="0.2">
      <c r="A59" s="4"/>
      <c r="B59" s="6"/>
      <c r="C59" s="5"/>
      <c r="D59" s="6"/>
    </row>
    <row r="60" spans="1:4" x14ac:dyDescent="0.2">
      <c r="A60" s="4"/>
      <c r="B60" s="6"/>
      <c r="C60" s="5"/>
      <c r="D60" s="6"/>
    </row>
    <row r="61" spans="1:4" x14ac:dyDescent="0.2">
      <c r="A61" s="7"/>
      <c r="B61" s="6"/>
      <c r="C61" s="5"/>
      <c r="D61" s="6"/>
    </row>
    <row r="62" spans="1:4" x14ac:dyDescent="0.2">
      <c r="A62" s="7"/>
      <c r="B62" s="6"/>
      <c r="C62" s="5"/>
      <c r="D62" s="6"/>
    </row>
    <row r="63" spans="1:4" x14ac:dyDescent="0.2">
      <c r="A63" s="4"/>
      <c r="B63" s="6"/>
      <c r="C63" s="5"/>
      <c r="D63" s="6"/>
    </row>
    <row r="64" spans="1:4" x14ac:dyDescent="0.2">
      <c r="A64" s="4"/>
      <c r="B64" s="6"/>
      <c r="C64" s="5"/>
      <c r="D64" s="6"/>
    </row>
    <row r="65" spans="1:4" x14ac:dyDescent="0.2">
      <c r="A65" s="4"/>
      <c r="B65" s="6"/>
      <c r="C65" s="5"/>
      <c r="D65" s="6"/>
    </row>
    <row r="66" spans="1:4" x14ac:dyDescent="0.2">
      <c r="A66" s="4"/>
      <c r="B66" s="6"/>
      <c r="C66" s="5"/>
      <c r="D66" s="6"/>
    </row>
    <row r="67" spans="1:4" x14ac:dyDescent="0.2">
      <c r="A67" s="4"/>
      <c r="B67" s="6"/>
      <c r="C67" s="5"/>
      <c r="D67" s="6"/>
    </row>
    <row r="68" spans="1:4" x14ac:dyDescent="0.2">
      <c r="A68" s="4"/>
      <c r="B68" s="6"/>
      <c r="C68" s="5"/>
      <c r="D68" s="6"/>
    </row>
    <row r="69" spans="1:4" x14ac:dyDescent="0.2">
      <c r="A69" s="4"/>
      <c r="B69" s="6"/>
      <c r="C69" s="5"/>
      <c r="D69" s="6"/>
    </row>
    <row r="70" spans="1:4" x14ac:dyDescent="0.2">
      <c r="A70" s="4"/>
      <c r="B70" s="6"/>
      <c r="C70" s="5"/>
      <c r="D70" s="6"/>
    </row>
    <row r="71" spans="1:4" x14ac:dyDescent="0.2">
      <c r="A71" s="4"/>
      <c r="B71" s="6"/>
      <c r="C71" s="5"/>
      <c r="D71" s="6"/>
    </row>
    <row r="72" spans="1:4" x14ac:dyDescent="0.2">
      <c r="A72" s="4"/>
      <c r="B72" s="6"/>
      <c r="C72" s="5"/>
      <c r="D72" s="6"/>
    </row>
    <row r="73" spans="1:4" x14ac:dyDescent="0.2">
      <c r="A73" s="4"/>
      <c r="B73" s="6"/>
      <c r="C73" s="5"/>
      <c r="D73" s="6"/>
    </row>
    <row r="74" spans="1:4" x14ac:dyDescent="0.2">
      <c r="A74" s="4"/>
      <c r="B74" s="6"/>
      <c r="C74" s="5"/>
      <c r="D74" s="6"/>
    </row>
    <row r="75" spans="1:4" x14ac:dyDescent="0.2">
      <c r="A75" s="4"/>
      <c r="B75" s="6"/>
      <c r="C75" s="5"/>
      <c r="D75" s="6"/>
    </row>
    <row r="76" spans="1:4" x14ac:dyDescent="0.2">
      <c r="A76" s="4"/>
      <c r="B76" s="6"/>
      <c r="C76" s="5"/>
      <c r="D76" s="6"/>
    </row>
    <row r="77" spans="1:4" x14ac:dyDescent="0.2">
      <c r="A77" s="4"/>
      <c r="B77" s="6"/>
      <c r="C77" s="5"/>
      <c r="D77" s="6"/>
    </row>
    <row r="78" spans="1:4" x14ac:dyDescent="0.2">
      <c r="A78" s="7"/>
      <c r="B78" s="6"/>
      <c r="C78" s="5"/>
      <c r="D78" s="6"/>
    </row>
    <row r="79" spans="1:4" x14ac:dyDescent="0.2">
      <c r="A79" s="7"/>
      <c r="B79" s="6"/>
      <c r="C79" s="5"/>
      <c r="D79" s="6"/>
    </row>
    <row r="80" spans="1:4" x14ac:dyDescent="0.2">
      <c r="A80" s="4"/>
      <c r="B80" s="6"/>
      <c r="C80" s="5"/>
      <c r="D80" s="6"/>
    </row>
    <row r="81" spans="1:4" x14ac:dyDescent="0.2">
      <c r="A81" s="4"/>
      <c r="B81" s="6"/>
      <c r="C81" s="5"/>
      <c r="D81" s="6"/>
    </row>
    <row r="82" spans="1:4" x14ac:dyDescent="0.2">
      <c r="A82" s="4"/>
      <c r="B82" s="6"/>
      <c r="C82" s="5"/>
      <c r="D82" s="6"/>
    </row>
    <row r="83" spans="1:4" x14ac:dyDescent="0.2">
      <c r="A83" s="4"/>
      <c r="B83" s="6"/>
      <c r="C83" s="8"/>
      <c r="D83" s="6"/>
    </row>
    <row r="84" spans="1:4" x14ac:dyDescent="0.2">
      <c r="A84" s="4"/>
      <c r="B84" s="6"/>
      <c r="C84" s="8"/>
      <c r="D84" s="6"/>
    </row>
    <row r="85" spans="1:4" x14ac:dyDescent="0.2">
      <c r="B85" s="6"/>
      <c r="C85" s="5"/>
      <c r="D85" s="6"/>
    </row>
    <row r="86" spans="1:4" x14ac:dyDescent="0.2">
      <c r="A86" s="9"/>
      <c r="B86" s="13"/>
      <c r="C86" s="8"/>
      <c r="D86" s="13"/>
    </row>
    <row r="87" spans="1:4" x14ac:dyDescent="0.2">
      <c r="A87" s="9"/>
      <c r="B87" s="6"/>
      <c r="C87" s="5"/>
      <c r="D87" s="6"/>
    </row>
    <row r="89" spans="1:4" x14ac:dyDescent="0.2">
      <c r="A89" s="9"/>
    </row>
  </sheetData>
  <mergeCells count="2">
    <mergeCell ref="A1:D1"/>
    <mergeCell ref="A37:B37"/>
  </mergeCells>
  <phoneticPr fontId="0" type="noConversion"/>
  <printOptions horizontalCentered="1"/>
  <pageMargins left="0" right="0" top="1.5748031496062993" bottom="0" header="0.11811023622047245" footer="0.51181102362204722"/>
  <pageSetup paperSize="9" orientation="portrait" r:id="rId1"/>
  <headerFooter scaleWithDoc="0"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8"/>
  <sheetViews>
    <sheetView zoomScaleNormal="100" workbookViewId="0">
      <selection activeCell="B5" sqref="B5"/>
    </sheetView>
  </sheetViews>
  <sheetFormatPr defaultColWidth="8.85546875" defaultRowHeight="12.75" x14ac:dyDescent="0.2"/>
  <cols>
    <col min="1" max="1" width="42.42578125" customWidth="1"/>
    <col min="2" max="3" width="16.140625" style="12" customWidth="1"/>
    <col min="4" max="4" width="14.140625" style="2" customWidth="1"/>
    <col min="5" max="5" width="13.7109375" style="2" customWidth="1"/>
    <col min="6" max="6" width="10.85546875" bestFit="1" customWidth="1"/>
  </cols>
  <sheetData>
    <row r="1" spans="1:6" ht="26.25" customHeight="1" x14ac:dyDescent="0.4">
      <c r="A1" s="279" t="s">
        <v>354</v>
      </c>
      <c r="B1" s="282"/>
      <c r="C1" s="282"/>
      <c r="D1" s="282"/>
      <c r="E1" s="282"/>
    </row>
    <row r="2" spans="1:6" ht="15" x14ac:dyDescent="0.2">
      <c r="A2" s="23"/>
      <c r="B2" s="283" t="s">
        <v>314</v>
      </c>
      <c r="C2" s="284"/>
      <c r="D2" s="283" t="s">
        <v>315</v>
      </c>
      <c r="E2" s="284"/>
    </row>
    <row r="3" spans="1:6" ht="15.75" x14ac:dyDescent="0.25">
      <c r="A3" s="39"/>
      <c r="B3" s="127" t="s">
        <v>238</v>
      </c>
      <c r="C3" s="127" t="s">
        <v>290</v>
      </c>
      <c r="D3" s="128" t="s">
        <v>238</v>
      </c>
      <c r="E3" s="128" t="s">
        <v>290</v>
      </c>
    </row>
    <row r="4" spans="1:6" x14ac:dyDescent="0.2">
      <c r="A4" s="118" t="s">
        <v>316</v>
      </c>
      <c r="B4" s="130"/>
      <c r="C4" s="161">
        <v>126</v>
      </c>
      <c r="D4" s="124"/>
      <c r="E4" s="124">
        <v>143</v>
      </c>
    </row>
    <row r="5" spans="1:6" ht="25.5" x14ac:dyDescent="0.2">
      <c r="A5" s="68" t="s">
        <v>367</v>
      </c>
      <c r="B5" s="132">
        <f>(200*1.6)/5</f>
        <v>64</v>
      </c>
      <c r="C5" s="132"/>
      <c r="D5" s="122"/>
      <c r="E5" s="122"/>
      <c r="F5" s="69"/>
    </row>
    <row r="6" spans="1:6" ht="25.5" x14ac:dyDescent="0.2">
      <c r="A6" s="68" t="s">
        <v>368</v>
      </c>
      <c r="B6" s="132"/>
      <c r="C6" s="132"/>
      <c r="D6" s="132">
        <f>(200*1.9)/5</f>
        <v>76</v>
      </c>
      <c r="E6" s="122"/>
      <c r="F6" s="69"/>
    </row>
    <row r="7" spans="1:6" x14ac:dyDescent="0.2">
      <c r="A7" s="68" t="s">
        <v>313</v>
      </c>
      <c r="B7" s="132">
        <f>((27.5*8)/5)</f>
        <v>44</v>
      </c>
      <c r="C7" s="132"/>
      <c r="D7" s="132">
        <f t="shared" ref="D7" si="0">((27.5*8)/5)</f>
        <v>44</v>
      </c>
      <c r="E7" s="122"/>
    </row>
    <row r="8" spans="1:6" x14ac:dyDescent="0.2">
      <c r="A8" s="160" t="s">
        <v>433</v>
      </c>
      <c r="B8" s="200">
        <f>B5+B7</f>
        <v>108</v>
      </c>
      <c r="C8" s="132"/>
      <c r="D8" s="132"/>
      <c r="E8" s="122"/>
    </row>
    <row r="9" spans="1:6" x14ac:dyDescent="0.2">
      <c r="A9" s="160" t="s">
        <v>434</v>
      </c>
      <c r="B9" s="132"/>
      <c r="C9" s="132"/>
      <c r="D9" s="200">
        <f>D6+D7</f>
        <v>120</v>
      </c>
      <c r="E9" s="122"/>
    </row>
    <row r="10" spans="1:6" x14ac:dyDescent="0.2">
      <c r="A10" s="68" t="s">
        <v>437</v>
      </c>
      <c r="B10" s="132">
        <f>(B8*10)/100</f>
        <v>10.8</v>
      </c>
      <c r="C10" s="132"/>
      <c r="D10" s="132">
        <f>(D9*10)/100</f>
        <v>12</v>
      </c>
      <c r="E10" s="122"/>
    </row>
    <row r="11" spans="1:6" x14ac:dyDescent="0.2">
      <c r="A11" s="10" t="s">
        <v>438</v>
      </c>
      <c r="B11" s="122">
        <f>(B8*5)/100</f>
        <v>5.4</v>
      </c>
      <c r="C11" s="122"/>
      <c r="D11" s="122">
        <f>(D9*5)/100</f>
        <v>6</v>
      </c>
      <c r="E11" s="122"/>
    </row>
    <row r="12" spans="1:6" x14ac:dyDescent="0.2">
      <c r="A12" s="199" t="s">
        <v>435</v>
      </c>
      <c r="B12" s="124">
        <f>B8+B10+B11</f>
        <v>124.2</v>
      </c>
      <c r="C12" s="124"/>
      <c r="D12" s="124"/>
      <c r="E12" s="122"/>
    </row>
    <row r="13" spans="1:6" x14ac:dyDescent="0.2">
      <c r="A13" s="199" t="s">
        <v>436</v>
      </c>
      <c r="B13" s="124"/>
      <c r="C13" s="124"/>
      <c r="D13" s="124">
        <f>D9+D10+D11</f>
        <v>138</v>
      </c>
      <c r="E13" s="122"/>
    </row>
    <row r="14" spans="1:6" x14ac:dyDescent="0.2">
      <c r="A14" s="141" t="s">
        <v>276</v>
      </c>
      <c r="B14" s="122">
        <f>C4*10%</f>
        <v>12.600000000000001</v>
      </c>
      <c r="C14" s="122"/>
      <c r="D14" s="122">
        <f>E4*10%</f>
        <v>14.3</v>
      </c>
      <c r="E14" s="122"/>
    </row>
    <row r="15" spans="1:6" x14ac:dyDescent="0.2">
      <c r="A15" s="139" t="s">
        <v>428</v>
      </c>
      <c r="B15" s="136"/>
      <c r="C15" s="136"/>
      <c r="D15" s="136"/>
      <c r="E15" s="122"/>
    </row>
    <row r="16" spans="1:6" ht="25.5" x14ac:dyDescent="0.2">
      <c r="A16" s="135" t="s">
        <v>427</v>
      </c>
      <c r="B16" s="136">
        <f>SUM(B12:B15)</f>
        <v>136.80000000000001</v>
      </c>
      <c r="C16" s="136"/>
      <c r="D16" s="136">
        <f>SUM(D13:D15)</f>
        <v>152.30000000000001</v>
      </c>
      <c r="E16" s="122"/>
    </row>
    <row r="17" spans="1:6" ht="25.5" x14ac:dyDescent="0.2">
      <c r="A17" s="139" t="s">
        <v>439</v>
      </c>
      <c r="B17" s="142">
        <f>C4-B16</f>
        <v>-10.800000000000011</v>
      </c>
      <c r="C17" s="138"/>
      <c r="D17" s="138"/>
      <c r="E17" s="122"/>
    </row>
    <row r="18" spans="1:6" ht="25.5" x14ac:dyDescent="0.2">
      <c r="A18" s="139" t="s">
        <v>440</v>
      </c>
      <c r="B18" s="138"/>
      <c r="C18" s="138"/>
      <c r="D18" s="142">
        <f>E4-D16</f>
        <v>-9.3000000000000114</v>
      </c>
      <c r="E18" s="122"/>
    </row>
    <row r="19" spans="1:6" x14ac:dyDescent="0.2">
      <c r="A19" s="139"/>
      <c r="B19" s="138"/>
      <c r="C19" s="138"/>
      <c r="D19" s="142"/>
      <c r="E19" s="122"/>
    </row>
    <row r="20" spans="1:6" x14ac:dyDescent="0.2">
      <c r="A20" s="139" t="s">
        <v>441</v>
      </c>
      <c r="B20" s="138">
        <f>B16*130%</f>
        <v>177.84000000000003</v>
      </c>
      <c r="C20" s="138"/>
      <c r="D20" s="138">
        <f>D16*130%</f>
        <v>197.99</v>
      </c>
      <c r="E20" s="122"/>
    </row>
    <row r="21" spans="1:6" x14ac:dyDescent="0.2">
      <c r="A21" s="139"/>
      <c r="B21" s="138"/>
      <c r="C21" s="138"/>
      <c r="D21" s="142"/>
      <c r="E21" s="122"/>
    </row>
    <row r="22" spans="1:6" ht="8.25" customHeight="1" x14ac:dyDescent="0.2">
      <c r="A22" s="163"/>
      <c r="B22" s="164"/>
      <c r="C22" s="164"/>
      <c r="D22" s="165"/>
      <c r="E22" s="166"/>
    </row>
    <row r="23" spans="1:6" ht="15.75" x14ac:dyDescent="0.25">
      <c r="A23" s="39"/>
      <c r="B23" s="127" t="s">
        <v>238</v>
      </c>
      <c r="C23" s="127" t="s">
        <v>290</v>
      </c>
      <c r="D23" s="128" t="s">
        <v>238</v>
      </c>
      <c r="E23" s="128" t="s">
        <v>290</v>
      </c>
    </row>
    <row r="24" spans="1:6" ht="30.75" customHeight="1" x14ac:dyDescent="0.2">
      <c r="A24" s="160" t="s">
        <v>358</v>
      </c>
      <c r="B24" s="130"/>
      <c r="C24" s="161">
        <v>230</v>
      </c>
      <c r="D24" s="124"/>
      <c r="E24" s="124">
        <v>420</v>
      </c>
    </row>
    <row r="25" spans="1:6" x14ac:dyDescent="0.2">
      <c r="A25" s="118"/>
      <c r="B25" s="130"/>
      <c r="C25" s="161" t="s">
        <v>355</v>
      </c>
      <c r="D25" s="124"/>
      <c r="E25" s="124" t="s">
        <v>356</v>
      </c>
    </row>
    <row r="26" spans="1:6" ht="25.5" x14ac:dyDescent="0.2">
      <c r="A26" s="68" t="s">
        <v>366</v>
      </c>
      <c r="B26" s="132">
        <f>(55*1.6)</f>
        <v>88</v>
      </c>
      <c r="C26" s="132"/>
      <c r="D26" s="122"/>
      <c r="E26" s="122"/>
      <c r="F26" s="69"/>
    </row>
    <row r="27" spans="1:6" ht="25.5" x14ac:dyDescent="0.2">
      <c r="A27" s="68" t="s">
        <v>365</v>
      </c>
      <c r="B27" s="132"/>
      <c r="C27" s="132"/>
      <c r="D27" s="132">
        <f>(55*1.9)</f>
        <v>104.5</v>
      </c>
      <c r="E27" s="122"/>
      <c r="F27" s="69"/>
    </row>
    <row r="28" spans="1:6" x14ac:dyDescent="0.2">
      <c r="A28" s="68" t="s">
        <v>359</v>
      </c>
      <c r="B28" s="132">
        <f>(27.5*2)</f>
        <v>55</v>
      </c>
      <c r="C28" s="132"/>
      <c r="D28" s="132">
        <f>(27.5*2)</f>
        <v>55</v>
      </c>
      <c r="E28" s="122"/>
    </row>
    <row r="29" spans="1:6" x14ac:dyDescent="0.2">
      <c r="A29" s="68" t="s">
        <v>357</v>
      </c>
      <c r="B29" s="132">
        <f>5*13</f>
        <v>65</v>
      </c>
      <c r="C29" s="132"/>
      <c r="D29" s="132">
        <f>15*13</f>
        <v>195</v>
      </c>
      <c r="E29" s="122"/>
    </row>
    <row r="30" spans="1:6" x14ac:dyDescent="0.2">
      <c r="A30" s="160" t="s">
        <v>433</v>
      </c>
      <c r="B30" s="200">
        <f>SUM(B25:B29)</f>
        <v>208</v>
      </c>
      <c r="C30" s="132"/>
      <c r="D30" s="132"/>
      <c r="E30" s="122"/>
    </row>
    <row r="31" spans="1:6" x14ac:dyDescent="0.2">
      <c r="A31" s="160" t="s">
        <v>434</v>
      </c>
      <c r="B31" s="200"/>
      <c r="C31" s="132"/>
      <c r="D31" s="200">
        <f>SUM(D27:D30)</f>
        <v>354.5</v>
      </c>
      <c r="E31" s="122"/>
    </row>
    <row r="32" spans="1:6" x14ac:dyDescent="0.2">
      <c r="A32" s="68" t="s">
        <v>437</v>
      </c>
      <c r="B32" s="132">
        <f>(B30*10)/100</f>
        <v>20.8</v>
      </c>
      <c r="C32" s="132"/>
      <c r="D32" s="132">
        <f>(D31*10)/100</f>
        <v>35.450000000000003</v>
      </c>
      <c r="E32" s="122"/>
    </row>
    <row r="33" spans="1:5" x14ac:dyDescent="0.2">
      <c r="A33" s="10" t="s">
        <v>438</v>
      </c>
      <c r="B33" s="122">
        <f>(B30*5)/100</f>
        <v>10.4</v>
      </c>
      <c r="C33" s="122"/>
      <c r="D33" s="122">
        <f>(D31*5)/100</f>
        <v>17.725000000000001</v>
      </c>
      <c r="E33" s="122"/>
    </row>
    <row r="34" spans="1:5" x14ac:dyDescent="0.2">
      <c r="A34" s="135" t="s">
        <v>435</v>
      </c>
      <c r="B34" s="136">
        <f>SUM(B30:B33)</f>
        <v>239.20000000000002</v>
      </c>
      <c r="C34" s="136"/>
      <c r="D34" s="136"/>
      <c r="E34" s="122"/>
    </row>
    <row r="35" spans="1:5" x14ac:dyDescent="0.2">
      <c r="A35" s="135" t="s">
        <v>436</v>
      </c>
      <c r="B35" s="136"/>
      <c r="C35" s="136"/>
      <c r="D35" s="136">
        <f>SUM(D31:D34)</f>
        <v>407.67500000000001</v>
      </c>
      <c r="E35" s="122"/>
    </row>
    <row r="36" spans="1:5" x14ac:dyDescent="0.2">
      <c r="A36" s="139" t="s">
        <v>276</v>
      </c>
      <c r="B36" s="138">
        <f>C24*10%</f>
        <v>23</v>
      </c>
      <c r="C36" s="138"/>
      <c r="D36" s="138">
        <f t="shared" ref="D36" si="1">E24*10%</f>
        <v>42</v>
      </c>
      <c r="E36" s="122"/>
    </row>
    <row r="37" spans="1:5" x14ac:dyDescent="0.2">
      <c r="A37" s="139" t="s">
        <v>428</v>
      </c>
      <c r="B37" s="136"/>
      <c r="C37" s="136"/>
      <c r="D37" s="136"/>
      <c r="E37" s="122"/>
    </row>
    <row r="38" spans="1:5" ht="25.5" x14ac:dyDescent="0.2">
      <c r="A38" s="135" t="s">
        <v>427</v>
      </c>
      <c r="B38" s="136">
        <f>SUM(B34:B37)</f>
        <v>262.20000000000005</v>
      </c>
      <c r="C38" s="136"/>
      <c r="D38" s="136">
        <f>SUM(D35:D37)</f>
        <v>449.67500000000001</v>
      </c>
      <c r="E38" s="122"/>
    </row>
    <row r="39" spans="1:5" ht="25.5" x14ac:dyDescent="0.2">
      <c r="A39" s="139" t="s">
        <v>439</v>
      </c>
      <c r="B39" s="142">
        <f>C24-B38</f>
        <v>-32.200000000000045</v>
      </c>
      <c r="C39" s="138"/>
      <c r="D39" s="138"/>
      <c r="E39" s="122"/>
    </row>
    <row r="40" spans="1:5" ht="25.5" x14ac:dyDescent="0.2">
      <c r="A40" s="139" t="s">
        <v>440</v>
      </c>
      <c r="B40" s="138"/>
      <c r="C40" s="138"/>
      <c r="D40" s="142">
        <f>E24-D38</f>
        <v>-29.675000000000011</v>
      </c>
      <c r="E40" s="122"/>
    </row>
    <row r="41" spans="1:5" x14ac:dyDescent="0.2">
      <c r="A41" s="139"/>
      <c r="B41" s="138"/>
      <c r="C41" s="138"/>
      <c r="D41" s="142"/>
      <c r="E41" s="122"/>
    </row>
    <row r="42" spans="1:5" x14ac:dyDescent="0.2">
      <c r="A42" s="139" t="s">
        <v>441</v>
      </c>
      <c r="B42" s="138">
        <f>B38*130%</f>
        <v>340.86000000000007</v>
      </c>
      <c r="C42" s="138"/>
      <c r="D42" s="138">
        <f>D38*130%</f>
        <v>584.57749999999999</v>
      </c>
      <c r="E42" s="122"/>
    </row>
    <row r="43" spans="1:5" x14ac:dyDescent="0.2">
      <c r="A43" s="139"/>
      <c r="B43" s="138"/>
      <c r="C43" s="138"/>
      <c r="D43" s="142"/>
      <c r="E43" s="122"/>
    </row>
    <row r="44" spans="1:5" ht="8.25" customHeight="1" x14ac:dyDescent="0.2">
      <c r="A44" s="163"/>
      <c r="B44" s="164"/>
      <c r="C44" s="164"/>
      <c r="D44" s="165"/>
      <c r="E44" s="166"/>
    </row>
    <row r="45" spans="1:5" ht="15.75" x14ac:dyDescent="0.25">
      <c r="A45" s="39"/>
      <c r="B45" s="127" t="s">
        <v>238</v>
      </c>
      <c r="C45" s="127" t="s">
        <v>290</v>
      </c>
      <c r="D45" s="128" t="s">
        <v>238</v>
      </c>
      <c r="E45" s="128" t="s">
        <v>290</v>
      </c>
    </row>
    <row r="46" spans="1:5" ht="25.5" x14ac:dyDescent="0.2">
      <c r="A46" s="160" t="s">
        <v>360</v>
      </c>
      <c r="B46" s="130"/>
      <c r="C46" s="161">
        <v>200</v>
      </c>
      <c r="D46" s="124"/>
      <c r="E46" s="124">
        <v>240</v>
      </c>
    </row>
    <row r="47" spans="1:5" x14ac:dyDescent="0.2">
      <c r="A47" s="118" t="s">
        <v>361</v>
      </c>
      <c r="B47" s="130"/>
      <c r="C47" s="161">
        <f>1000*0.5</f>
        <v>500</v>
      </c>
      <c r="D47" s="161"/>
      <c r="E47" s="161"/>
    </row>
    <row r="48" spans="1:5" x14ac:dyDescent="0.2">
      <c r="A48" s="118" t="s">
        <v>362</v>
      </c>
      <c r="B48" s="130"/>
      <c r="C48" s="161"/>
      <c r="D48" s="161"/>
      <c r="E48" s="161">
        <f>3000*0.5</f>
        <v>1500</v>
      </c>
    </row>
    <row r="49" spans="1:6" x14ac:dyDescent="0.2">
      <c r="A49" s="68" t="s">
        <v>369</v>
      </c>
      <c r="B49" s="132">
        <f>(55*1.6)</f>
        <v>88</v>
      </c>
      <c r="C49" s="132"/>
      <c r="D49" s="122"/>
      <c r="E49" s="122"/>
      <c r="F49" s="69"/>
    </row>
    <row r="50" spans="1:6" x14ac:dyDescent="0.2">
      <c r="A50" s="68" t="s">
        <v>370</v>
      </c>
      <c r="B50" s="132"/>
      <c r="C50" s="132"/>
      <c r="D50" s="132">
        <f>(55*1.9)</f>
        <v>104.5</v>
      </c>
      <c r="E50" s="122"/>
      <c r="F50" s="69"/>
    </row>
    <row r="51" spans="1:6" x14ac:dyDescent="0.2">
      <c r="A51" s="68" t="s">
        <v>359</v>
      </c>
      <c r="B51" s="132">
        <f>(27.5*2)</f>
        <v>55</v>
      </c>
      <c r="C51" s="132"/>
      <c r="D51" s="132">
        <f>(27.5*2)</f>
        <v>55</v>
      </c>
      <c r="E51" s="122"/>
    </row>
    <row r="52" spans="1:6" x14ac:dyDescent="0.2">
      <c r="A52" s="68" t="s">
        <v>363</v>
      </c>
      <c r="B52" s="132">
        <f>1000*0.3</f>
        <v>300</v>
      </c>
      <c r="C52" s="132"/>
      <c r="D52" s="132">
        <f>3000*0.3</f>
        <v>900</v>
      </c>
      <c r="E52" s="122"/>
    </row>
    <row r="53" spans="1:6" x14ac:dyDescent="0.2">
      <c r="A53" s="160" t="s">
        <v>433</v>
      </c>
      <c r="B53" s="132">
        <f>SUM(B49:B52)</f>
        <v>443</v>
      </c>
      <c r="C53" s="132"/>
      <c r="D53" s="132"/>
      <c r="E53" s="122"/>
    </row>
    <row r="54" spans="1:6" x14ac:dyDescent="0.2">
      <c r="A54" s="160" t="s">
        <v>434</v>
      </c>
      <c r="B54" s="132"/>
      <c r="C54" s="132"/>
      <c r="D54" s="132">
        <f>SUM(D50:D53)</f>
        <v>1059.5</v>
      </c>
      <c r="E54" s="122"/>
    </row>
    <row r="55" spans="1:6" x14ac:dyDescent="0.2">
      <c r="A55" s="68" t="s">
        <v>437</v>
      </c>
      <c r="B55" s="132">
        <f>(B53*10)/100</f>
        <v>44.3</v>
      </c>
      <c r="C55" s="132"/>
      <c r="D55" s="132">
        <f>(D54*10)/100</f>
        <v>105.95</v>
      </c>
      <c r="E55" s="122"/>
    </row>
    <row r="56" spans="1:6" x14ac:dyDescent="0.2">
      <c r="A56" s="10" t="s">
        <v>438</v>
      </c>
      <c r="B56" s="122">
        <f>(B53*5)/100</f>
        <v>22.15</v>
      </c>
      <c r="C56" s="122"/>
      <c r="D56" s="122">
        <f>(D54*5)/100</f>
        <v>52.975000000000001</v>
      </c>
      <c r="E56" s="122"/>
    </row>
    <row r="57" spans="1:6" x14ac:dyDescent="0.2">
      <c r="A57" s="135" t="s">
        <v>435</v>
      </c>
      <c r="B57" s="136">
        <f>SUM(B53:B56)</f>
        <v>509.45</v>
      </c>
      <c r="C57" s="136"/>
      <c r="D57" s="136"/>
      <c r="E57" s="122"/>
    </row>
    <row r="58" spans="1:6" x14ac:dyDescent="0.2">
      <c r="A58" s="135" t="s">
        <v>436</v>
      </c>
      <c r="B58" s="136"/>
      <c r="C58" s="136"/>
      <c r="D58" s="136">
        <f>SUM(D53:D57)</f>
        <v>1218.425</v>
      </c>
      <c r="E58" s="122"/>
    </row>
    <row r="59" spans="1:6" x14ac:dyDescent="0.2">
      <c r="A59" s="139" t="s">
        <v>276</v>
      </c>
      <c r="B59" s="138">
        <f>(C46+C47)*10%</f>
        <v>70</v>
      </c>
      <c r="C59" s="138"/>
      <c r="D59" s="138">
        <f>(E46+E48)*10%</f>
        <v>174</v>
      </c>
      <c r="E59" s="122"/>
    </row>
    <row r="60" spans="1:6" x14ac:dyDescent="0.2">
      <c r="A60" s="139" t="s">
        <v>428</v>
      </c>
      <c r="B60" s="136"/>
      <c r="C60" s="136"/>
      <c r="D60" s="136"/>
      <c r="E60" s="122"/>
    </row>
    <row r="61" spans="1:6" ht="25.5" x14ac:dyDescent="0.2">
      <c r="A61" s="135" t="s">
        <v>427</v>
      </c>
      <c r="B61" s="136">
        <f>SUM(B57:B60)</f>
        <v>579.45000000000005</v>
      </c>
      <c r="C61" s="136"/>
      <c r="D61" s="136">
        <f>SUM(D58:D60)</f>
        <v>1392.425</v>
      </c>
      <c r="E61" s="122"/>
    </row>
    <row r="62" spans="1:6" ht="25.5" x14ac:dyDescent="0.2">
      <c r="A62" s="139" t="s">
        <v>439</v>
      </c>
      <c r="B62" s="138">
        <f>C46+C47-B61</f>
        <v>120.54999999999995</v>
      </c>
      <c r="C62" s="138"/>
      <c r="D62" s="138"/>
      <c r="E62" s="122"/>
    </row>
    <row r="63" spans="1:6" ht="25.5" x14ac:dyDescent="0.2">
      <c r="A63" s="139" t="s">
        <v>440</v>
      </c>
      <c r="B63" s="138"/>
      <c r="C63" s="138"/>
      <c r="D63" s="138">
        <f>E46+E48-D61</f>
        <v>347.57500000000005</v>
      </c>
      <c r="E63" s="122"/>
    </row>
    <row r="64" spans="1:6" x14ac:dyDescent="0.2">
      <c r="A64" s="139"/>
      <c r="B64" s="138"/>
      <c r="C64" s="138"/>
      <c r="D64" s="138"/>
      <c r="E64" s="122"/>
    </row>
    <row r="65" spans="1:6" x14ac:dyDescent="0.2">
      <c r="A65" s="139" t="s">
        <v>441</v>
      </c>
      <c r="B65" s="138">
        <f>B61*130%</f>
        <v>753.28500000000008</v>
      </c>
      <c r="C65" s="138"/>
      <c r="D65" s="138">
        <f>D61*130%</f>
        <v>1810.1524999999999</v>
      </c>
      <c r="E65" s="122"/>
    </row>
    <row r="66" spans="1:6" x14ac:dyDescent="0.2">
      <c r="A66" s="139"/>
      <c r="B66" s="138"/>
      <c r="C66" s="138"/>
      <c r="D66" s="138"/>
      <c r="E66" s="122"/>
    </row>
    <row r="67" spans="1:6" ht="8.25" customHeight="1" x14ac:dyDescent="0.2">
      <c r="A67" s="167"/>
      <c r="B67" s="53"/>
      <c r="C67" s="53"/>
      <c r="D67" s="53"/>
      <c r="E67" s="168"/>
    </row>
    <row r="68" spans="1:6" ht="16.5" customHeight="1" x14ac:dyDescent="0.2">
      <c r="A68" s="23"/>
      <c r="B68" s="169" t="s">
        <v>238</v>
      </c>
      <c r="C68" s="169" t="s">
        <v>290</v>
      </c>
      <c r="D68" s="169" t="s">
        <v>238</v>
      </c>
      <c r="E68" s="169" t="s">
        <v>290</v>
      </c>
    </row>
    <row r="69" spans="1:6" x14ac:dyDescent="0.2">
      <c r="A69" s="143" t="s">
        <v>404</v>
      </c>
      <c r="B69" s="26"/>
      <c r="C69" s="144"/>
      <c r="D69" s="144"/>
      <c r="E69" s="162">
        <v>320</v>
      </c>
    </row>
    <row r="70" spans="1:6" ht="25.5" x14ac:dyDescent="0.2">
      <c r="A70" s="68" t="s">
        <v>364</v>
      </c>
      <c r="B70" s="132"/>
      <c r="C70" s="132"/>
      <c r="D70" s="132">
        <f>(200*1.9)/4</f>
        <v>95</v>
      </c>
      <c r="E70" s="122"/>
      <c r="F70" s="69"/>
    </row>
    <row r="71" spans="1:6" x14ac:dyDescent="0.2">
      <c r="A71" s="68" t="s">
        <v>317</v>
      </c>
      <c r="B71" s="132"/>
      <c r="C71" s="132"/>
      <c r="D71" s="132">
        <f>((27.5*8)/4)</f>
        <v>55</v>
      </c>
      <c r="E71" s="122"/>
    </row>
    <row r="72" spans="1:6" x14ac:dyDescent="0.2">
      <c r="A72" s="160" t="s">
        <v>426</v>
      </c>
      <c r="B72" s="132"/>
      <c r="C72" s="132"/>
      <c r="D72" s="200">
        <f>SUM(D70:D71)</f>
        <v>150</v>
      </c>
      <c r="E72" s="122"/>
    </row>
    <row r="73" spans="1:6" x14ac:dyDescent="0.2">
      <c r="A73" s="68" t="s">
        <v>437</v>
      </c>
      <c r="B73" s="132"/>
      <c r="C73" s="132"/>
      <c r="D73" s="132">
        <f>(D72*10)/100</f>
        <v>15</v>
      </c>
      <c r="E73" s="122"/>
    </row>
    <row r="74" spans="1:6" x14ac:dyDescent="0.2">
      <c r="A74" s="10" t="s">
        <v>438</v>
      </c>
      <c r="B74" s="122"/>
      <c r="C74" s="122"/>
      <c r="D74" s="122">
        <f>(E69*5)/100</f>
        <v>16</v>
      </c>
      <c r="E74" s="122"/>
    </row>
    <row r="75" spans="1:6" x14ac:dyDescent="0.2">
      <c r="A75" s="135" t="s">
        <v>436</v>
      </c>
      <c r="B75" s="136"/>
      <c r="C75" s="136"/>
      <c r="D75" s="136">
        <f>SUM(D72:D74)</f>
        <v>181</v>
      </c>
      <c r="E75" s="122"/>
    </row>
    <row r="76" spans="1:6" x14ac:dyDescent="0.2">
      <c r="A76" s="139" t="s">
        <v>276</v>
      </c>
      <c r="B76" s="136"/>
      <c r="C76" s="136"/>
      <c r="D76" s="138">
        <f>E69*10%</f>
        <v>32</v>
      </c>
      <c r="E76" s="122"/>
    </row>
    <row r="77" spans="1:6" x14ac:dyDescent="0.2">
      <c r="A77" s="139" t="s">
        <v>428</v>
      </c>
      <c r="B77" s="136"/>
      <c r="C77" s="136"/>
      <c r="D77" s="136"/>
      <c r="E77" s="122"/>
    </row>
    <row r="78" spans="1:6" ht="25.5" x14ac:dyDescent="0.2">
      <c r="A78" s="135" t="s">
        <v>427</v>
      </c>
      <c r="B78" s="136"/>
      <c r="C78" s="136"/>
      <c r="D78" s="136">
        <f>SUM(D75:D77)</f>
        <v>213</v>
      </c>
      <c r="E78" s="122"/>
    </row>
    <row r="79" spans="1:6" ht="25.5" x14ac:dyDescent="0.2">
      <c r="A79" s="139" t="s">
        <v>440</v>
      </c>
      <c r="B79" s="138"/>
      <c r="C79" s="138"/>
      <c r="D79" s="138">
        <f>E69-D78</f>
        <v>107</v>
      </c>
      <c r="E79" s="122"/>
    </row>
    <row r="80" spans="1:6" x14ac:dyDescent="0.2">
      <c r="A80" s="135"/>
      <c r="B80" s="136"/>
      <c r="C80" s="136"/>
      <c r="D80" s="136"/>
      <c r="E80" s="122"/>
    </row>
    <row r="81" spans="1:6" x14ac:dyDescent="0.2">
      <c r="A81" s="139" t="s">
        <v>441</v>
      </c>
      <c r="B81" s="136"/>
      <c r="C81" s="136"/>
      <c r="D81" s="138">
        <f>D78*130%</f>
        <v>276.90000000000003</v>
      </c>
      <c r="E81" s="122"/>
    </row>
    <row r="82" spans="1:6" x14ac:dyDescent="0.2">
      <c r="A82" s="139"/>
      <c r="B82" s="138"/>
      <c r="C82" s="138"/>
      <c r="D82" s="138"/>
      <c r="E82" s="122"/>
    </row>
    <row r="83" spans="1:6" ht="8.25" customHeight="1" x14ac:dyDescent="0.2">
      <c r="A83" s="163"/>
      <c r="B83" s="164"/>
      <c r="C83" s="164"/>
      <c r="D83" s="165"/>
      <c r="E83" s="166"/>
    </row>
    <row r="84" spans="1:6" ht="16.5" customHeight="1" x14ac:dyDescent="0.2">
      <c r="A84" s="139"/>
      <c r="B84" s="170" t="s">
        <v>238</v>
      </c>
      <c r="C84" s="170" t="s">
        <v>290</v>
      </c>
      <c r="D84" s="170" t="s">
        <v>238</v>
      </c>
      <c r="E84" s="171" t="s">
        <v>290</v>
      </c>
    </row>
    <row r="85" spans="1:6" x14ac:dyDescent="0.2">
      <c r="A85" s="143" t="s">
        <v>318</v>
      </c>
      <c r="B85" s="26"/>
      <c r="C85" s="161">
        <f>160</f>
        <v>160</v>
      </c>
      <c r="D85" s="162"/>
      <c r="E85" s="162">
        <f>180</f>
        <v>180</v>
      </c>
      <c r="F85" s="69"/>
    </row>
    <row r="86" spans="1:6" ht="25.5" x14ac:dyDescent="0.2">
      <c r="A86" s="68" t="s">
        <v>507</v>
      </c>
      <c r="B86" s="132">
        <f>40*1.6</f>
        <v>64</v>
      </c>
      <c r="C86" s="132"/>
      <c r="D86" s="122"/>
      <c r="E86" s="122"/>
      <c r="F86" s="69"/>
    </row>
    <row r="87" spans="1:6" ht="25.5" x14ac:dyDescent="0.2">
      <c r="A87" s="68" t="s">
        <v>508</v>
      </c>
      <c r="B87" s="132"/>
      <c r="C87" s="132"/>
      <c r="D87" s="132">
        <f>40*1.9</f>
        <v>76</v>
      </c>
      <c r="E87" s="122"/>
      <c r="F87" s="69"/>
    </row>
    <row r="88" spans="1:6" x14ac:dyDescent="0.2">
      <c r="A88" s="68" t="s">
        <v>317</v>
      </c>
      <c r="B88" s="132">
        <f>27.5*2</f>
        <v>55</v>
      </c>
      <c r="C88" s="132"/>
      <c r="D88" s="132">
        <f>27.5*2</f>
        <v>55</v>
      </c>
      <c r="E88" s="122"/>
    </row>
    <row r="89" spans="1:6" x14ac:dyDescent="0.2">
      <c r="A89" s="160" t="s">
        <v>433</v>
      </c>
      <c r="B89" s="200">
        <f>SUM(B86:B88)</f>
        <v>119</v>
      </c>
      <c r="C89" s="132"/>
      <c r="D89" s="132"/>
      <c r="E89" s="122"/>
    </row>
    <row r="90" spans="1:6" x14ac:dyDescent="0.2">
      <c r="A90" s="160" t="s">
        <v>434</v>
      </c>
      <c r="B90" s="200"/>
      <c r="C90" s="132"/>
      <c r="D90" s="200">
        <f>SUM(D87:D89)</f>
        <v>131</v>
      </c>
      <c r="E90" s="122"/>
    </row>
    <row r="91" spans="1:6" x14ac:dyDescent="0.2">
      <c r="A91" s="68" t="s">
        <v>437</v>
      </c>
      <c r="B91" s="132">
        <f>(B89*10)/100</f>
        <v>11.9</v>
      </c>
      <c r="C91" s="132"/>
      <c r="D91" s="132">
        <f>(D90*10)/100</f>
        <v>13.1</v>
      </c>
      <c r="E91" s="122"/>
    </row>
    <row r="92" spans="1:6" x14ac:dyDescent="0.2">
      <c r="A92" s="10" t="s">
        <v>438</v>
      </c>
      <c r="B92" s="132">
        <f>(B89*5)/100</f>
        <v>5.95</v>
      </c>
      <c r="C92" s="122"/>
      <c r="D92" s="122">
        <f>(D90*5)/100</f>
        <v>6.55</v>
      </c>
      <c r="E92" s="122"/>
    </row>
    <row r="93" spans="1:6" x14ac:dyDescent="0.2">
      <c r="A93" s="135" t="s">
        <v>435</v>
      </c>
      <c r="B93" s="136">
        <f>SUM(B89:B92)</f>
        <v>136.85</v>
      </c>
      <c r="C93" s="136"/>
      <c r="D93" s="136"/>
      <c r="E93" s="122"/>
    </row>
    <row r="94" spans="1:6" x14ac:dyDescent="0.2">
      <c r="A94" s="135" t="s">
        <v>436</v>
      </c>
      <c r="B94" s="136"/>
      <c r="C94" s="136"/>
      <c r="D94" s="136">
        <f>SUM(D90:D93)</f>
        <v>150.65</v>
      </c>
      <c r="E94" s="122"/>
    </row>
    <row r="95" spans="1:6" x14ac:dyDescent="0.2">
      <c r="A95" s="139" t="s">
        <v>276</v>
      </c>
      <c r="B95" s="138">
        <f>C85*10%</f>
        <v>16</v>
      </c>
      <c r="C95" s="136"/>
      <c r="D95" s="138">
        <f>E85*10%</f>
        <v>18</v>
      </c>
      <c r="E95" s="122"/>
    </row>
    <row r="96" spans="1:6" x14ac:dyDescent="0.2">
      <c r="A96" s="139" t="s">
        <v>428</v>
      </c>
      <c r="B96" s="136"/>
      <c r="C96" s="136"/>
      <c r="D96" s="136"/>
      <c r="E96" s="122"/>
    </row>
    <row r="97" spans="1:5" ht="25.5" x14ac:dyDescent="0.2">
      <c r="A97" s="135" t="s">
        <v>427</v>
      </c>
      <c r="B97" s="136">
        <f>SUM(B93:B96)</f>
        <v>152.85</v>
      </c>
      <c r="C97" s="136"/>
      <c r="D97" s="136">
        <f>SUM(D94:D96)</f>
        <v>168.65</v>
      </c>
      <c r="E97" s="122"/>
    </row>
    <row r="98" spans="1:5" ht="25.5" x14ac:dyDescent="0.2">
      <c r="A98" s="139" t="s">
        <v>439</v>
      </c>
      <c r="B98" s="138">
        <f>C85-B97</f>
        <v>7.1500000000000057</v>
      </c>
      <c r="C98" s="138"/>
      <c r="D98" s="138"/>
      <c r="E98" s="122"/>
    </row>
    <row r="99" spans="1:5" ht="25.5" x14ac:dyDescent="0.2">
      <c r="A99" s="139" t="s">
        <v>440</v>
      </c>
      <c r="B99" s="138"/>
      <c r="C99" s="138"/>
      <c r="D99" s="138">
        <f>E85-D97</f>
        <v>11.349999999999994</v>
      </c>
      <c r="E99" s="122"/>
    </row>
    <row r="100" spans="1:5" x14ac:dyDescent="0.2">
      <c r="A100" s="139"/>
      <c r="B100" s="138"/>
      <c r="C100" s="138"/>
      <c r="D100" s="138"/>
      <c r="E100" s="122"/>
    </row>
    <row r="101" spans="1:5" x14ac:dyDescent="0.2">
      <c r="A101" s="139" t="s">
        <v>441</v>
      </c>
      <c r="B101" s="138">
        <f>B97*130%</f>
        <v>198.70500000000001</v>
      </c>
      <c r="C101" s="136"/>
      <c r="D101" s="138">
        <f>D97*130%</f>
        <v>219.245</v>
      </c>
      <c r="E101" s="122"/>
    </row>
    <row r="102" spans="1:5" x14ac:dyDescent="0.2">
      <c r="A102" s="139"/>
      <c r="B102" s="138"/>
      <c r="C102" s="138"/>
      <c r="D102" s="138"/>
      <c r="E102" s="122"/>
    </row>
    <row r="103" spans="1:5" x14ac:dyDescent="0.2">
      <c r="A103" s="4"/>
      <c r="B103" s="186"/>
      <c r="C103" s="186"/>
      <c r="D103" s="187"/>
      <c r="E103" s="5"/>
    </row>
    <row r="104" spans="1:5" x14ac:dyDescent="0.2">
      <c r="A104" s="4"/>
      <c r="B104" s="6"/>
      <c r="C104" s="6"/>
      <c r="D104" s="5"/>
      <c r="E104" s="5"/>
    </row>
    <row r="105" spans="1:5" x14ac:dyDescent="0.2">
      <c r="A105" s="4"/>
      <c r="B105" s="6"/>
      <c r="C105" s="6"/>
      <c r="D105" s="5"/>
      <c r="E105" s="5"/>
    </row>
    <row r="106" spans="1:5" x14ac:dyDescent="0.2">
      <c r="A106" s="4"/>
      <c r="B106" s="6"/>
      <c r="C106" s="6"/>
      <c r="D106" s="5"/>
      <c r="E106" s="5"/>
    </row>
    <row r="107" spans="1:5" x14ac:dyDescent="0.2">
      <c r="A107" s="7"/>
      <c r="B107" s="6"/>
      <c r="C107" s="6"/>
      <c r="D107" s="5"/>
      <c r="E107" s="5"/>
    </row>
    <row r="108" spans="1:5" x14ac:dyDescent="0.2">
      <c r="A108" s="7"/>
      <c r="B108" s="6"/>
      <c r="C108" s="6"/>
      <c r="D108" s="5"/>
      <c r="E108" s="5"/>
    </row>
    <row r="109" spans="1:5" x14ac:dyDescent="0.2">
      <c r="A109" s="4"/>
      <c r="B109" s="6"/>
      <c r="C109" s="6"/>
      <c r="D109" s="5"/>
      <c r="E109" s="5"/>
    </row>
    <row r="110" spans="1:5" x14ac:dyDescent="0.2">
      <c r="A110" s="4"/>
      <c r="B110" s="6"/>
      <c r="C110" s="6"/>
      <c r="D110" s="5"/>
      <c r="E110" s="5"/>
    </row>
    <row r="111" spans="1:5" x14ac:dyDescent="0.2">
      <c r="A111" s="4"/>
      <c r="B111" s="6"/>
      <c r="C111" s="6"/>
      <c r="D111" s="5"/>
      <c r="E111" s="5"/>
    </row>
    <row r="112" spans="1:5" x14ac:dyDescent="0.2">
      <c r="A112" s="4"/>
      <c r="B112" s="6"/>
      <c r="C112" s="6"/>
      <c r="D112" s="5"/>
      <c r="E112" s="5"/>
    </row>
    <row r="113" spans="1:5" x14ac:dyDescent="0.2">
      <c r="A113" s="4"/>
      <c r="B113" s="6"/>
      <c r="C113" s="6"/>
      <c r="D113" s="5"/>
      <c r="E113" s="5"/>
    </row>
    <row r="114" spans="1:5" x14ac:dyDescent="0.2">
      <c r="A114" s="4"/>
      <c r="B114" s="6"/>
      <c r="C114" s="6"/>
      <c r="D114" s="5"/>
      <c r="E114" s="5"/>
    </row>
    <row r="115" spans="1:5" x14ac:dyDescent="0.2">
      <c r="A115" s="4"/>
      <c r="B115" s="6"/>
      <c r="C115" s="6"/>
      <c r="D115" s="5"/>
      <c r="E115" s="5"/>
    </row>
    <row r="116" spans="1:5" x14ac:dyDescent="0.2">
      <c r="A116" s="4"/>
      <c r="B116" s="6"/>
      <c r="C116" s="6"/>
      <c r="D116" s="5"/>
      <c r="E116" s="5"/>
    </row>
    <row r="117" spans="1:5" x14ac:dyDescent="0.2">
      <c r="A117" s="4"/>
      <c r="B117" s="6"/>
      <c r="C117" s="6"/>
      <c r="D117" s="5"/>
      <c r="E117" s="5"/>
    </row>
    <row r="118" spans="1:5" x14ac:dyDescent="0.2">
      <c r="A118" s="4"/>
      <c r="B118" s="6"/>
      <c r="C118" s="6"/>
      <c r="D118" s="5"/>
      <c r="E118" s="5"/>
    </row>
    <row r="119" spans="1:5" x14ac:dyDescent="0.2">
      <c r="A119" s="4"/>
      <c r="B119" s="6"/>
      <c r="C119" s="6"/>
      <c r="D119" s="5"/>
      <c r="E119" s="5"/>
    </row>
    <row r="120" spans="1:5" x14ac:dyDescent="0.2">
      <c r="A120" s="7"/>
      <c r="B120" s="6"/>
      <c r="C120" s="6"/>
      <c r="D120" s="5"/>
      <c r="E120" s="5"/>
    </row>
    <row r="121" spans="1:5" x14ac:dyDescent="0.2">
      <c r="A121" s="7"/>
      <c r="B121" s="6"/>
      <c r="C121" s="6"/>
      <c r="D121" s="5"/>
      <c r="E121" s="5"/>
    </row>
    <row r="122" spans="1:5" x14ac:dyDescent="0.2">
      <c r="A122" s="4"/>
      <c r="B122" s="6"/>
      <c r="C122" s="6"/>
      <c r="D122" s="5"/>
      <c r="E122" s="5"/>
    </row>
    <row r="123" spans="1:5" x14ac:dyDescent="0.2">
      <c r="A123" s="4"/>
      <c r="B123" s="6"/>
      <c r="C123" s="6"/>
      <c r="D123" s="5"/>
      <c r="E123" s="5"/>
    </row>
    <row r="124" spans="1:5" x14ac:dyDescent="0.2">
      <c r="A124" s="4"/>
      <c r="B124" s="6"/>
      <c r="C124" s="6"/>
      <c r="D124" s="5"/>
      <c r="E124" s="5"/>
    </row>
    <row r="125" spans="1:5" x14ac:dyDescent="0.2">
      <c r="A125" s="4"/>
      <c r="B125" s="6"/>
      <c r="C125" s="6"/>
      <c r="D125" s="5"/>
      <c r="E125" s="5"/>
    </row>
    <row r="126" spans="1:5" x14ac:dyDescent="0.2">
      <c r="A126" s="4"/>
      <c r="B126" s="6"/>
      <c r="C126" s="6"/>
      <c r="D126" s="5"/>
      <c r="E126" s="5"/>
    </row>
    <row r="127" spans="1:5" x14ac:dyDescent="0.2">
      <c r="A127" s="4"/>
      <c r="B127" s="6"/>
      <c r="C127" s="6"/>
      <c r="D127" s="5"/>
      <c r="E127" s="5"/>
    </row>
    <row r="128" spans="1:5" x14ac:dyDescent="0.2">
      <c r="A128" s="4"/>
      <c r="B128" s="6"/>
      <c r="C128" s="6"/>
      <c r="D128" s="5"/>
      <c r="E128" s="5"/>
    </row>
    <row r="129" spans="1:5" x14ac:dyDescent="0.2">
      <c r="A129" s="4"/>
      <c r="B129" s="6"/>
      <c r="C129" s="6"/>
      <c r="D129" s="5"/>
      <c r="E129" s="5"/>
    </row>
    <row r="130" spans="1:5" x14ac:dyDescent="0.2">
      <c r="A130" s="4"/>
      <c r="B130" s="6"/>
      <c r="C130" s="6"/>
      <c r="D130" s="5"/>
      <c r="E130" s="5"/>
    </row>
    <row r="131" spans="1:5" x14ac:dyDescent="0.2">
      <c r="A131" s="4"/>
      <c r="B131" s="6"/>
      <c r="C131" s="6"/>
      <c r="D131" s="5"/>
      <c r="E131" s="5"/>
    </row>
    <row r="132" spans="1:5" x14ac:dyDescent="0.2">
      <c r="A132" s="4"/>
      <c r="B132" s="6"/>
      <c r="C132" s="6"/>
      <c r="D132" s="5"/>
      <c r="E132" s="5"/>
    </row>
    <row r="133" spans="1:5" x14ac:dyDescent="0.2">
      <c r="A133" s="4"/>
      <c r="B133" s="6"/>
      <c r="C133" s="6"/>
      <c r="D133" s="5"/>
      <c r="E133" s="5"/>
    </row>
    <row r="134" spans="1:5" x14ac:dyDescent="0.2">
      <c r="A134" s="4"/>
      <c r="B134" s="6"/>
      <c r="C134" s="6"/>
      <c r="D134" s="5"/>
      <c r="E134" s="5"/>
    </row>
    <row r="135" spans="1:5" x14ac:dyDescent="0.2">
      <c r="A135" s="4"/>
      <c r="B135" s="6"/>
      <c r="C135" s="6"/>
      <c r="D135" s="5"/>
      <c r="E135" s="5"/>
    </row>
    <row r="136" spans="1:5" x14ac:dyDescent="0.2">
      <c r="A136" s="4"/>
      <c r="B136" s="6"/>
      <c r="C136" s="6"/>
      <c r="D136" s="5"/>
      <c r="E136" s="5"/>
    </row>
    <row r="137" spans="1:5" x14ac:dyDescent="0.2">
      <c r="A137" s="7"/>
      <c r="B137" s="6"/>
      <c r="C137" s="6"/>
      <c r="D137" s="5"/>
      <c r="E137" s="5"/>
    </row>
    <row r="138" spans="1:5" x14ac:dyDescent="0.2">
      <c r="A138" s="7"/>
      <c r="B138" s="6"/>
      <c r="C138" s="6"/>
      <c r="D138" s="5"/>
      <c r="E138" s="5"/>
    </row>
    <row r="139" spans="1:5" x14ac:dyDescent="0.2">
      <c r="A139" s="4"/>
      <c r="B139" s="6"/>
      <c r="C139" s="6"/>
      <c r="D139" s="5"/>
      <c r="E139" s="5"/>
    </row>
    <row r="140" spans="1:5" x14ac:dyDescent="0.2">
      <c r="A140" s="4"/>
      <c r="B140" s="6"/>
      <c r="C140" s="6"/>
      <c r="D140" s="5"/>
      <c r="E140" s="5"/>
    </row>
    <row r="141" spans="1:5" x14ac:dyDescent="0.2">
      <c r="A141" s="4"/>
      <c r="B141" s="6"/>
      <c r="C141" s="6"/>
      <c r="D141" s="5"/>
      <c r="E141" s="5"/>
    </row>
    <row r="142" spans="1:5" x14ac:dyDescent="0.2">
      <c r="A142" s="4"/>
      <c r="B142" s="6"/>
      <c r="C142" s="6"/>
      <c r="D142" s="8"/>
      <c r="E142" s="8"/>
    </row>
    <row r="143" spans="1:5" x14ac:dyDescent="0.2">
      <c r="A143" s="4"/>
      <c r="B143" s="6"/>
      <c r="C143" s="6"/>
      <c r="D143" s="8"/>
      <c r="E143" s="8"/>
    </row>
    <row r="144" spans="1:5" x14ac:dyDescent="0.2">
      <c r="B144" s="6"/>
      <c r="C144" s="6"/>
      <c r="D144" s="5"/>
      <c r="E144" s="5"/>
    </row>
    <row r="145" spans="1:5" x14ac:dyDescent="0.2">
      <c r="A145" s="9"/>
      <c r="B145" s="13"/>
      <c r="C145" s="13"/>
      <c r="D145" s="8"/>
      <c r="E145" s="8"/>
    </row>
    <row r="146" spans="1:5" x14ac:dyDescent="0.2">
      <c r="A146" s="9"/>
      <c r="B146" s="6"/>
      <c r="C146" s="6"/>
      <c r="D146" s="5"/>
      <c r="E146" s="5"/>
    </row>
    <row r="148" spans="1:5" x14ac:dyDescent="0.2">
      <c r="A148" s="9"/>
    </row>
  </sheetData>
  <mergeCells count="3">
    <mergeCell ref="A1:E1"/>
    <mergeCell ref="B2:C2"/>
    <mergeCell ref="D2:E2"/>
  </mergeCells>
  <printOptions horizontalCentered="1"/>
  <pageMargins left="3.937007874015748E-2" right="3.937007874015748E-2" top="1.5748031496062993" bottom="0.74803149606299213" header="0.31496062992125984" footer="0.31496062992125984"/>
  <pageSetup paperSize="9" orientation="portrait" r:id="rId1"/>
  <headerFooter scaleWithDoc="0">
    <oddHeader>&amp;C&amp;G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6"/>
  <sheetViews>
    <sheetView topLeftCell="A20" workbookViewId="0">
      <selection activeCell="F38" sqref="F38"/>
    </sheetView>
  </sheetViews>
  <sheetFormatPr defaultColWidth="8.85546875" defaultRowHeight="12.75" x14ac:dyDescent="0.2"/>
  <cols>
    <col min="1" max="1" width="58.85546875" customWidth="1"/>
    <col min="2" max="2" width="17.140625" style="2" customWidth="1"/>
    <col min="3" max="3" width="10.42578125" style="12" customWidth="1"/>
    <col min="4" max="4" width="62.42578125" customWidth="1"/>
    <col min="5" max="5" width="32.85546875" customWidth="1"/>
    <col min="6" max="6" width="55" customWidth="1"/>
  </cols>
  <sheetData>
    <row r="1" spans="1:7" x14ac:dyDescent="0.2">
      <c r="E1" s="2"/>
      <c r="F1" s="12"/>
    </row>
    <row r="2" spans="1:7" ht="32.25" customHeight="1" x14ac:dyDescent="0.4">
      <c r="A2" s="279" t="s">
        <v>30</v>
      </c>
      <c r="B2" s="279"/>
      <c r="C2" s="279"/>
      <c r="D2" s="279" t="s">
        <v>603</v>
      </c>
      <c r="E2" s="279"/>
      <c r="F2" s="279"/>
    </row>
    <row r="3" spans="1:7" ht="11.25" customHeight="1" x14ac:dyDescent="0.4">
      <c r="A3" s="285"/>
      <c r="B3" s="286"/>
      <c r="C3" s="287"/>
      <c r="D3" s="285"/>
      <c r="E3" s="286"/>
      <c r="F3" s="287"/>
    </row>
    <row r="4" spans="1:7" ht="18" x14ac:dyDescent="0.25">
      <c r="A4" s="39"/>
      <c r="B4" s="31"/>
      <c r="C4" s="1"/>
      <c r="D4" s="39"/>
      <c r="E4" s="31"/>
      <c r="F4" s="1"/>
    </row>
    <row r="5" spans="1:7" ht="21.75" customHeight="1" x14ac:dyDescent="0.25">
      <c r="A5" s="17" t="s">
        <v>150</v>
      </c>
      <c r="B5" s="20">
        <v>120</v>
      </c>
      <c r="C5" s="10" t="s">
        <v>107</v>
      </c>
      <c r="D5" s="17" t="s">
        <v>150</v>
      </c>
      <c r="E5" s="20">
        <v>140</v>
      </c>
      <c r="F5" s="10" t="s">
        <v>107</v>
      </c>
      <c r="G5" s="16"/>
    </row>
    <row r="6" spans="1:7" ht="9.75" customHeight="1" x14ac:dyDescent="0.2">
      <c r="A6" s="32"/>
      <c r="B6" s="37"/>
      <c r="C6" s="40"/>
      <c r="D6" s="32"/>
      <c r="E6" s="37"/>
      <c r="F6" s="40"/>
    </row>
    <row r="7" spans="1:7" ht="22.5" customHeight="1" x14ac:dyDescent="0.25">
      <c r="A7" s="16" t="s">
        <v>193</v>
      </c>
      <c r="B7" s="81">
        <v>220</v>
      </c>
      <c r="C7" s="10" t="s">
        <v>108</v>
      </c>
      <c r="D7" s="16" t="s">
        <v>193</v>
      </c>
      <c r="E7" s="81">
        <v>250</v>
      </c>
      <c r="F7" s="10" t="s">
        <v>108</v>
      </c>
    </row>
    <row r="8" spans="1:7" ht="38.25" customHeight="1" x14ac:dyDescent="0.2">
      <c r="A8" s="16" t="s">
        <v>302</v>
      </c>
      <c r="B8" s="22">
        <v>150</v>
      </c>
      <c r="C8" s="10" t="s">
        <v>108</v>
      </c>
      <c r="D8" s="16" t="s">
        <v>302</v>
      </c>
      <c r="E8" s="22">
        <v>150</v>
      </c>
      <c r="F8" s="10" t="s">
        <v>108</v>
      </c>
    </row>
    <row r="9" spans="1:7" ht="18.75" customHeight="1" x14ac:dyDescent="0.2">
      <c r="A9" s="217" t="s">
        <v>519</v>
      </c>
      <c r="B9" s="38">
        <v>100</v>
      </c>
      <c r="C9" s="41"/>
      <c r="D9" s="217" t="s">
        <v>519</v>
      </c>
      <c r="E9" s="38">
        <v>120</v>
      </c>
      <c r="F9" s="41"/>
    </row>
    <row r="10" spans="1:7" ht="18.75" customHeight="1" x14ac:dyDescent="0.25">
      <c r="A10" s="16" t="s">
        <v>194</v>
      </c>
      <c r="B10" s="21">
        <v>220</v>
      </c>
      <c r="C10" s="10" t="s">
        <v>108</v>
      </c>
      <c r="D10" s="16" t="s">
        <v>194</v>
      </c>
      <c r="E10" s="21">
        <v>250</v>
      </c>
      <c r="F10" s="10" t="s">
        <v>108</v>
      </c>
    </row>
    <row r="11" spans="1:7" ht="18.75" customHeight="1" x14ac:dyDescent="0.2">
      <c r="A11" s="16" t="s">
        <v>308</v>
      </c>
      <c r="B11" s="21">
        <v>0.16</v>
      </c>
      <c r="C11" s="10" t="s">
        <v>310</v>
      </c>
      <c r="D11" s="16" t="s">
        <v>308</v>
      </c>
      <c r="E11" s="21">
        <v>0.16</v>
      </c>
      <c r="F11" s="10" t="s">
        <v>310</v>
      </c>
    </row>
    <row r="12" spans="1:7" ht="17.25" customHeight="1" x14ac:dyDescent="0.2">
      <c r="A12" s="16" t="s">
        <v>309</v>
      </c>
      <c r="B12" s="21">
        <v>0.22</v>
      </c>
      <c r="C12" s="10" t="s">
        <v>310</v>
      </c>
      <c r="D12" s="16" t="s">
        <v>309</v>
      </c>
      <c r="E12" s="21">
        <v>0.22</v>
      </c>
      <c r="F12" s="10" t="s">
        <v>310</v>
      </c>
    </row>
    <row r="13" spans="1:7" ht="30" hidden="1" customHeight="1" x14ac:dyDescent="0.2">
      <c r="A13" s="32"/>
      <c r="B13" s="38"/>
      <c r="C13" s="41"/>
      <c r="D13" s="32"/>
      <c r="E13" s="38"/>
      <c r="F13" s="41"/>
    </row>
    <row r="14" spans="1:7" ht="23.25" customHeight="1" x14ac:dyDescent="0.2">
      <c r="A14" s="32" t="s">
        <v>524</v>
      </c>
      <c r="B14" s="38">
        <v>100</v>
      </c>
      <c r="C14" s="41"/>
      <c r="D14" s="32" t="s">
        <v>524</v>
      </c>
      <c r="E14" s="38">
        <v>120</v>
      </c>
      <c r="F14" s="41"/>
    </row>
    <row r="15" spans="1:7" ht="30.75" x14ac:dyDescent="0.2">
      <c r="A15" s="16" t="s">
        <v>31</v>
      </c>
      <c r="B15" s="21">
        <v>150</v>
      </c>
      <c r="C15" s="10" t="s">
        <v>107</v>
      </c>
      <c r="D15" s="16" t="s">
        <v>31</v>
      </c>
      <c r="E15" s="21">
        <v>180</v>
      </c>
      <c r="F15" s="10" t="s">
        <v>107</v>
      </c>
    </row>
    <row r="16" spans="1:7" ht="17.25" customHeight="1" x14ac:dyDescent="0.2">
      <c r="A16" s="16" t="s">
        <v>9</v>
      </c>
      <c r="B16" s="22">
        <v>100</v>
      </c>
      <c r="C16" s="10" t="s">
        <v>107</v>
      </c>
      <c r="D16" s="16" t="s">
        <v>9</v>
      </c>
      <c r="E16" s="22">
        <v>150</v>
      </c>
      <c r="F16" s="10" t="s">
        <v>107</v>
      </c>
    </row>
    <row r="17" spans="1:6" ht="15" x14ac:dyDescent="0.2">
      <c r="A17" s="17" t="s">
        <v>110</v>
      </c>
      <c r="B17" s="20">
        <v>50</v>
      </c>
      <c r="C17" s="10" t="s">
        <v>109</v>
      </c>
      <c r="D17" s="17" t="s">
        <v>110</v>
      </c>
      <c r="E17" s="20">
        <v>50</v>
      </c>
      <c r="F17" s="10" t="s">
        <v>109</v>
      </c>
    </row>
    <row r="18" spans="1:6" ht="15" x14ac:dyDescent="0.2">
      <c r="A18" s="17"/>
      <c r="B18" s="21"/>
      <c r="C18" s="1"/>
      <c r="D18" s="17"/>
      <c r="E18" s="21"/>
      <c r="F18" s="1"/>
    </row>
    <row r="19" spans="1:6" ht="15" x14ac:dyDescent="0.2">
      <c r="A19" s="17" t="s">
        <v>210</v>
      </c>
      <c r="B19" s="21">
        <v>42</v>
      </c>
      <c r="C19" s="1" t="s">
        <v>107</v>
      </c>
      <c r="D19" s="17" t="s">
        <v>210</v>
      </c>
      <c r="E19" s="21">
        <v>42</v>
      </c>
      <c r="F19" s="1" t="s">
        <v>107</v>
      </c>
    </row>
    <row r="20" spans="1:6" ht="15" x14ac:dyDescent="0.2">
      <c r="A20" s="17" t="s">
        <v>211</v>
      </c>
      <c r="B20" s="21">
        <v>80</v>
      </c>
      <c r="C20" s="1" t="s">
        <v>107</v>
      </c>
      <c r="D20" s="17" t="s">
        <v>211</v>
      </c>
      <c r="E20" s="21">
        <v>80</v>
      </c>
      <c r="F20" s="1" t="s">
        <v>107</v>
      </c>
    </row>
    <row r="21" spans="1:6" ht="15" x14ac:dyDescent="0.2">
      <c r="A21" s="17"/>
      <c r="B21" s="21"/>
      <c r="C21" s="1"/>
      <c r="D21" s="17"/>
      <c r="E21" s="21"/>
      <c r="F21" s="1"/>
    </row>
    <row r="22" spans="1:6" ht="15" x14ac:dyDescent="0.2">
      <c r="A22" s="17" t="s">
        <v>209</v>
      </c>
      <c r="B22" s="21"/>
      <c r="C22" s="1"/>
      <c r="D22" s="17" t="s">
        <v>209</v>
      </c>
      <c r="E22" s="21"/>
      <c r="F22" s="1"/>
    </row>
    <row r="23" spans="1:6" ht="15" x14ac:dyDescent="0.2">
      <c r="A23" s="17"/>
      <c r="B23" s="21"/>
      <c r="C23" s="1"/>
      <c r="D23" s="17"/>
      <c r="E23" s="21"/>
      <c r="F23" s="1"/>
    </row>
    <row r="24" spans="1:6" ht="15" x14ac:dyDescent="0.2">
      <c r="A24" s="70"/>
      <c r="B24" s="71"/>
      <c r="C24"/>
      <c r="D24" s="70"/>
      <c r="E24" s="71"/>
    </row>
    <row r="25" spans="1:6" ht="15.75" customHeight="1" x14ac:dyDescent="0.2">
      <c r="A25" s="290"/>
      <c r="B25" s="290"/>
      <c r="C25" s="290"/>
      <c r="D25" s="290"/>
      <c r="E25" s="290"/>
      <c r="F25" s="290"/>
    </row>
    <row r="26" spans="1:6" ht="26.25" x14ac:dyDescent="0.4">
      <c r="A26" s="288" t="s">
        <v>212</v>
      </c>
      <c r="B26" s="289"/>
      <c r="C26" s="289"/>
      <c r="D26" s="288" t="s">
        <v>212</v>
      </c>
      <c r="E26" s="289"/>
      <c r="F26" s="289"/>
    </row>
    <row r="27" spans="1:6" ht="15.75" x14ac:dyDescent="0.25">
      <c r="A27" s="16" t="s">
        <v>515</v>
      </c>
      <c r="B27" s="81">
        <v>90</v>
      </c>
      <c r="C27" s="10" t="s">
        <v>108</v>
      </c>
      <c r="D27" s="16" t="s">
        <v>515</v>
      </c>
      <c r="E27" s="81" t="s">
        <v>629</v>
      </c>
      <c r="F27" s="10" t="s">
        <v>108</v>
      </c>
    </row>
    <row r="28" spans="1:6" x14ac:dyDescent="0.2">
      <c r="A28" s="69"/>
      <c r="B28" s="5"/>
      <c r="C28" s="6"/>
    </row>
    <row r="29" spans="1:6" x14ac:dyDescent="0.2">
      <c r="A29" s="7"/>
      <c r="B29" s="5"/>
      <c r="C29" s="6"/>
    </row>
    <row r="30" spans="1:6" x14ac:dyDescent="0.2">
      <c r="A30" s="7"/>
      <c r="B30" s="5"/>
      <c r="C30" s="6"/>
    </row>
    <row r="31" spans="1:6" x14ac:dyDescent="0.2">
      <c r="A31" s="4"/>
      <c r="B31" s="5"/>
      <c r="C31" s="6"/>
    </row>
    <row r="32" spans="1:6" x14ac:dyDescent="0.2">
      <c r="A32" s="4"/>
      <c r="B32" s="5"/>
      <c r="C32" s="6"/>
    </row>
    <row r="33" spans="1:3" x14ac:dyDescent="0.2">
      <c r="A33" s="4"/>
      <c r="B33" s="5"/>
      <c r="C33" s="6"/>
    </row>
    <row r="34" spans="1:3" x14ac:dyDescent="0.2">
      <c r="A34" s="4"/>
      <c r="B34" s="5"/>
      <c r="C34" s="6"/>
    </row>
    <row r="35" spans="1:3" x14ac:dyDescent="0.2">
      <c r="A35" s="7"/>
      <c r="B35" s="5"/>
      <c r="C35" s="6"/>
    </row>
    <row r="36" spans="1:3" x14ac:dyDescent="0.2">
      <c r="A36" s="7"/>
      <c r="B36" s="5"/>
      <c r="C36" s="6"/>
    </row>
    <row r="37" spans="1:3" x14ac:dyDescent="0.2">
      <c r="A37" s="4"/>
      <c r="B37" s="5"/>
      <c r="C37" s="6"/>
    </row>
    <row r="38" spans="1:3" x14ac:dyDescent="0.2">
      <c r="A38" s="4"/>
      <c r="B38" s="5"/>
      <c r="C38" s="6"/>
    </row>
    <row r="39" spans="1:3" x14ac:dyDescent="0.2">
      <c r="A39" s="4"/>
      <c r="B39" s="5"/>
      <c r="C39" s="6"/>
    </row>
    <row r="40" spans="1:3" x14ac:dyDescent="0.2">
      <c r="A40" s="4"/>
      <c r="B40" s="5"/>
      <c r="C40" s="6"/>
    </row>
    <row r="41" spans="1:3" x14ac:dyDescent="0.2">
      <c r="A41" s="4"/>
      <c r="B41" s="5"/>
      <c r="C41" s="6"/>
    </row>
    <row r="42" spans="1:3" x14ac:dyDescent="0.2">
      <c r="A42" s="4"/>
      <c r="B42" s="5"/>
      <c r="C42" s="6"/>
    </row>
    <row r="43" spans="1:3" x14ac:dyDescent="0.2">
      <c r="A43" s="4"/>
      <c r="B43" s="5"/>
      <c r="C43" s="6"/>
    </row>
    <row r="44" spans="1:3" x14ac:dyDescent="0.2">
      <c r="A44" s="4"/>
      <c r="B44" s="5"/>
      <c r="C44" s="6"/>
    </row>
    <row r="45" spans="1:3" x14ac:dyDescent="0.2">
      <c r="A45" s="4"/>
      <c r="B45" s="5"/>
      <c r="C45" s="6"/>
    </row>
    <row r="46" spans="1:3" x14ac:dyDescent="0.2">
      <c r="A46" s="4"/>
      <c r="B46" s="5"/>
      <c r="C46" s="6"/>
    </row>
    <row r="47" spans="1:3" x14ac:dyDescent="0.2">
      <c r="A47" s="4"/>
      <c r="B47" s="5"/>
      <c r="C47" s="6"/>
    </row>
    <row r="48" spans="1:3" x14ac:dyDescent="0.2">
      <c r="A48" s="7"/>
      <c r="B48" s="5"/>
      <c r="C48" s="6"/>
    </row>
    <row r="49" spans="1:3" x14ac:dyDescent="0.2">
      <c r="A49" s="7"/>
      <c r="B49" s="5"/>
      <c r="C49" s="6"/>
    </row>
    <row r="50" spans="1:3" x14ac:dyDescent="0.2">
      <c r="A50" s="4"/>
      <c r="B50" s="5"/>
      <c r="C50" s="6"/>
    </row>
    <row r="51" spans="1:3" x14ac:dyDescent="0.2">
      <c r="A51" s="4"/>
      <c r="B51" s="5"/>
      <c r="C51" s="6"/>
    </row>
    <row r="52" spans="1:3" x14ac:dyDescent="0.2">
      <c r="A52" s="4"/>
      <c r="B52" s="5"/>
      <c r="C52" s="6"/>
    </row>
    <row r="53" spans="1:3" x14ac:dyDescent="0.2">
      <c r="A53" s="4"/>
      <c r="B53" s="5"/>
      <c r="C53" s="6"/>
    </row>
    <row r="54" spans="1:3" x14ac:dyDescent="0.2">
      <c r="A54" s="4"/>
      <c r="B54" s="5"/>
      <c r="C54" s="6"/>
    </row>
    <row r="55" spans="1:3" x14ac:dyDescent="0.2">
      <c r="A55" s="4"/>
      <c r="B55" s="5"/>
      <c r="C55" s="6"/>
    </row>
    <row r="56" spans="1:3" x14ac:dyDescent="0.2">
      <c r="A56" s="4"/>
      <c r="B56" s="5"/>
      <c r="C56" s="6"/>
    </row>
    <row r="57" spans="1:3" x14ac:dyDescent="0.2">
      <c r="A57" s="4"/>
      <c r="B57" s="5"/>
      <c r="C57" s="6"/>
    </row>
    <row r="58" spans="1:3" x14ac:dyDescent="0.2">
      <c r="A58" s="4"/>
      <c r="B58" s="5"/>
      <c r="C58" s="6"/>
    </row>
    <row r="59" spans="1:3" x14ac:dyDescent="0.2">
      <c r="A59" s="4"/>
      <c r="B59" s="5"/>
      <c r="C59" s="6"/>
    </row>
    <row r="60" spans="1:3" x14ac:dyDescent="0.2">
      <c r="A60" s="4"/>
      <c r="B60" s="5"/>
      <c r="C60" s="6"/>
    </row>
    <row r="61" spans="1:3" x14ac:dyDescent="0.2">
      <c r="A61" s="4"/>
      <c r="B61" s="5"/>
      <c r="C61" s="6"/>
    </row>
    <row r="62" spans="1:3" x14ac:dyDescent="0.2">
      <c r="A62" s="4"/>
      <c r="B62" s="5"/>
      <c r="C62" s="6"/>
    </row>
    <row r="63" spans="1:3" x14ac:dyDescent="0.2">
      <c r="A63" s="4"/>
      <c r="B63" s="5"/>
      <c r="C63" s="6"/>
    </row>
    <row r="64" spans="1:3" x14ac:dyDescent="0.2">
      <c r="A64" s="4"/>
      <c r="B64" s="5"/>
      <c r="C64" s="6"/>
    </row>
    <row r="65" spans="1:3" x14ac:dyDescent="0.2">
      <c r="A65" s="7"/>
      <c r="B65" s="5"/>
      <c r="C65" s="6"/>
    </row>
    <row r="66" spans="1:3" x14ac:dyDescent="0.2">
      <c r="A66" s="7"/>
      <c r="B66" s="5"/>
      <c r="C66" s="6"/>
    </row>
    <row r="67" spans="1:3" x14ac:dyDescent="0.2">
      <c r="A67" s="4"/>
      <c r="B67" s="5"/>
      <c r="C67" s="6"/>
    </row>
    <row r="68" spans="1:3" x14ac:dyDescent="0.2">
      <c r="A68" s="4"/>
      <c r="B68" s="5"/>
      <c r="C68" s="6"/>
    </row>
    <row r="69" spans="1:3" x14ac:dyDescent="0.2">
      <c r="A69" s="4"/>
      <c r="B69" s="5"/>
      <c r="C69" s="6"/>
    </row>
    <row r="70" spans="1:3" x14ac:dyDescent="0.2">
      <c r="A70" s="4"/>
      <c r="B70" s="8"/>
      <c r="C70" s="6"/>
    </row>
    <row r="71" spans="1:3" x14ac:dyDescent="0.2">
      <c r="A71" s="4"/>
      <c r="B71" s="8"/>
      <c r="C71" s="6"/>
    </row>
    <row r="72" spans="1:3" x14ac:dyDescent="0.2">
      <c r="B72" s="5"/>
      <c r="C72" s="6"/>
    </row>
    <row r="73" spans="1:3" x14ac:dyDescent="0.2">
      <c r="A73" s="9"/>
      <c r="B73" s="8"/>
      <c r="C73" s="13"/>
    </row>
    <row r="74" spans="1:3" x14ac:dyDescent="0.2">
      <c r="A74" s="9"/>
      <c r="B74" s="5"/>
      <c r="C74" s="6"/>
    </row>
    <row r="76" spans="1:3" x14ac:dyDescent="0.2">
      <c r="A76" s="9"/>
    </row>
  </sheetData>
  <mergeCells count="8">
    <mergeCell ref="A2:C2"/>
    <mergeCell ref="A3:C3"/>
    <mergeCell ref="A26:C26"/>
    <mergeCell ref="A25:C25"/>
    <mergeCell ref="D2:F2"/>
    <mergeCell ref="D3:F3"/>
    <mergeCell ref="D25:F25"/>
    <mergeCell ref="D26:F26"/>
  </mergeCells>
  <printOptions horizontalCentered="1"/>
  <pageMargins left="0.19685039370078741" right="0.11811023622047245" top="1.5354330708661419" bottom="0.74803149606299213" header="0.31496062992125984" footer="0.31496062992125984"/>
  <pageSetup paperSize="9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9"/>
  <sheetViews>
    <sheetView workbookViewId="0">
      <selection activeCell="D92" sqref="D92"/>
    </sheetView>
  </sheetViews>
  <sheetFormatPr defaultColWidth="8.85546875" defaultRowHeight="12.75" x14ac:dyDescent="0.2"/>
  <cols>
    <col min="1" max="1" width="62.5703125" customWidth="1"/>
    <col min="2" max="2" width="17.140625" style="2" customWidth="1"/>
    <col min="3" max="3" width="10.42578125" style="12" customWidth="1"/>
    <col min="4" max="4" width="19.28515625" customWidth="1"/>
    <col min="5" max="5" width="3.42578125" customWidth="1"/>
    <col min="6" max="6" width="61.28515625" customWidth="1"/>
    <col min="7" max="7" width="8.85546875" customWidth="1"/>
    <col min="8" max="8" width="9.140625" customWidth="1"/>
  </cols>
  <sheetData>
    <row r="1" spans="1:8" ht="32.25" customHeight="1" x14ac:dyDescent="0.4">
      <c r="A1" s="279" t="s">
        <v>305</v>
      </c>
      <c r="B1" s="279"/>
      <c r="C1" s="279"/>
    </row>
    <row r="2" spans="1:8" ht="16.5" customHeight="1" x14ac:dyDescent="0.4">
      <c r="A2" s="285"/>
      <c r="B2" s="286"/>
      <c r="C2" s="287"/>
    </row>
    <row r="3" spans="1:8" ht="15.75" x14ac:dyDescent="0.25">
      <c r="A3" s="39" t="s">
        <v>291</v>
      </c>
      <c r="B3" s="127" t="s">
        <v>238</v>
      </c>
      <c r="C3" s="128" t="s">
        <v>290</v>
      </c>
      <c r="F3" s="197" t="s">
        <v>410</v>
      </c>
      <c r="G3" s="130"/>
      <c r="H3" s="122"/>
    </row>
    <row r="4" spans="1:8" ht="21.75" customHeight="1" x14ac:dyDescent="0.2">
      <c r="A4" s="118" t="s">
        <v>320</v>
      </c>
      <c r="B4" s="130"/>
      <c r="C4" s="124">
        <v>220</v>
      </c>
      <c r="F4" s="118" t="s">
        <v>300</v>
      </c>
      <c r="G4" s="130"/>
      <c r="H4" s="124">
        <v>220</v>
      </c>
    </row>
    <row r="5" spans="1:8" ht="21.75" customHeight="1" x14ac:dyDescent="0.2">
      <c r="A5" s="118" t="s">
        <v>301</v>
      </c>
      <c r="B5" s="130"/>
      <c r="C5" s="124">
        <v>165</v>
      </c>
      <c r="F5" s="118" t="s">
        <v>301</v>
      </c>
      <c r="G5" s="130"/>
      <c r="H5" s="124">
        <v>165</v>
      </c>
    </row>
    <row r="6" spans="1:8" ht="16.5" customHeight="1" x14ac:dyDescent="0.2">
      <c r="A6" s="68" t="s">
        <v>373</v>
      </c>
      <c r="B6" s="131">
        <f>(1.5/7)*2</f>
        <v>0.42857142857142855</v>
      </c>
      <c r="C6" s="122"/>
      <c r="D6" s="69"/>
      <c r="F6" s="68" t="s">
        <v>284</v>
      </c>
      <c r="G6" s="131">
        <f>(1.5/7)*2</f>
        <v>0.42857142857142855</v>
      </c>
      <c r="H6" s="122"/>
    </row>
    <row r="7" spans="1:8" ht="16.5" customHeight="1" x14ac:dyDescent="0.2">
      <c r="A7" s="68" t="s">
        <v>294</v>
      </c>
      <c r="B7" s="131">
        <f>1.353*4</f>
        <v>5.4119999999999999</v>
      </c>
      <c r="C7" s="122"/>
      <c r="D7" s="69"/>
      <c r="F7" s="68" t="s">
        <v>294</v>
      </c>
      <c r="G7" s="131">
        <f>1.353*4</f>
        <v>5.4119999999999999</v>
      </c>
      <c r="H7" s="122"/>
    </row>
    <row r="8" spans="1:8" ht="16.5" customHeight="1" x14ac:dyDescent="0.2">
      <c r="A8" s="68" t="s">
        <v>295</v>
      </c>
      <c r="B8" s="131">
        <f>1.353*8</f>
        <v>10.824</v>
      </c>
      <c r="C8" s="122"/>
      <c r="D8" s="69"/>
      <c r="F8" s="68" t="s">
        <v>295</v>
      </c>
      <c r="G8" s="131">
        <f>1.353*8</f>
        <v>10.824</v>
      </c>
      <c r="H8" s="122"/>
    </row>
    <row r="9" spans="1:8" ht="16.5" customHeight="1" x14ac:dyDescent="0.2">
      <c r="A9" s="68" t="s">
        <v>303</v>
      </c>
      <c r="B9" s="131">
        <f>1.6*0.7</f>
        <v>1.1199999999999999</v>
      </c>
      <c r="C9" s="122"/>
      <c r="D9" s="69"/>
      <c r="F9" s="68" t="s">
        <v>303</v>
      </c>
      <c r="G9" s="131">
        <f>1.6*0.7</f>
        <v>1.1199999999999999</v>
      </c>
      <c r="H9" s="122"/>
    </row>
    <row r="10" spans="1:8" ht="25.5" x14ac:dyDescent="0.2">
      <c r="A10" s="68" t="s">
        <v>372</v>
      </c>
      <c r="B10" s="132">
        <f>(100*1.7)/7</f>
        <v>24.285714285714285</v>
      </c>
      <c r="C10" s="122"/>
      <c r="D10" s="69"/>
      <c r="F10" s="68" t="s">
        <v>511</v>
      </c>
      <c r="G10" s="132">
        <f>(30*1.7)</f>
        <v>51</v>
      </c>
      <c r="H10" s="122"/>
    </row>
    <row r="11" spans="1:8" ht="16.5" customHeight="1" x14ac:dyDescent="0.2">
      <c r="A11" s="68" t="s">
        <v>292</v>
      </c>
      <c r="B11" s="132">
        <f>(100*1.9)/7</f>
        <v>27.142857142857142</v>
      </c>
      <c r="C11" s="122"/>
      <c r="D11" s="69"/>
      <c r="F11" s="68" t="s">
        <v>292</v>
      </c>
      <c r="G11" s="132">
        <f>(30*1.9)</f>
        <v>57</v>
      </c>
      <c r="H11" s="122"/>
    </row>
    <row r="12" spans="1:8" ht="16.5" customHeight="1" x14ac:dyDescent="0.2">
      <c r="A12" s="68" t="s">
        <v>371</v>
      </c>
      <c r="B12" s="132">
        <f>(100*0.5)/7</f>
        <v>7.1428571428571432</v>
      </c>
      <c r="C12" s="122"/>
      <c r="D12" s="69"/>
      <c r="F12" s="68" t="s">
        <v>299</v>
      </c>
      <c r="G12" s="132">
        <f>(30*0.5)</f>
        <v>15</v>
      </c>
      <c r="H12" s="122"/>
    </row>
    <row r="13" spans="1:8" ht="16.5" customHeight="1" x14ac:dyDescent="0.2">
      <c r="A13" s="68" t="s">
        <v>296</v>
      </c>
      <c r="B13" s="132">
        <f>((27.5*8)/7)*2</f>
        <v>62.857142857142854</v>
      </c>
      <c r="C13" s="122"/>
      <c r="D13" s="69"/>
      <c r="F13" s="68" t="s">
        <v>510</v>
      </c>
      <c r="G13" s="132">
        <f>(27.5*1.5)*2</f>
        <v>82.5</v>
      </c>
      <c r="H13" s="122"/>
    </row>
    <row r="14" spans="1:8" ht="16.5" customHeight="1" x14ac:dyDescent="0.2">
      <c r="A14" s="160" t="s">
        <v>442</v>
      </c>
      <c r="B14" s="200">
        <f>B6+B7+B10+B13</f>
        <v>92.983428571428561</v>
      </c>
      <c r="C14" s="122"/>
      <c r="D14" s="69"/>
      <c r="F14" s="160" t="s">
        <v>442</v>
      </c>
      <c r="G14" s="200">
        <f>G6+G7+G10+G13</f>
        <v>139.34057142857142</v>
      </c>
      <c r="H14" s="124"/>
    </row>
    <row r="15" spans="1:8" ht="16.5" customHeight="1" x14ac:dyDescent="0.2">
      <c r="A15" s="160" t="s">
        <v>443</v>
      </c>
      <c r="B15" s="200">
        <f>B6+B8+B11+B13</f>
        <v>101.25257142857143</v>
      </c>
      <c r="C15" s="122"/>
      <c r="D15" s="69"/>
      <c r="F15" s="160" t="s">
        <v>443</v>
      </c>
      <c r="G15" s="200">
        <f>G6+G8+G11+G13</f>
        <v>150.75257142857143</v>
      </c>
      <c r="H15" s="124"/>
    </row>
    <row r="16" spans="1:8" ht="16.5" customHeight="1" x14ac:dyDescent="0.2">
      <c r="A16" s="160" t="s">
        <v>444</v>
      </c>
      <c r="B16" s="200">
        <f>B6+B9+B12+(B13/2)</f>
        <v>40.119999999999997</v>
      </c>
      <c r="C16" s="122"/>
      <c r="D16" s="69"/>
      <c r="F16" s="160" t="s">
        <v>444</v>
      </c>
      <c r="G16" s="200">
        <f>G6+G9+G12+(G13/2)</f>
        <v>57.798571428571428</v>
      </c>
      <c r="H16" s="124"/>
    </row>
    <row r="17" spans="1:8" ht="16.5" customHeight="1" x14ac:dyDescent="0.2">
      <c r="A17" s="68" t="s">
        <v>465</v>
      </c>
      <c r="B17" s="132">
        <f>(B14*10)/100</f>
        <v>9.2983428571428561</v>
      </c>
      <c r="C17" s="122"/>
      <c r="D17" s="69"/>
      <c r="F17" s="68" t="s">
        <v>465</v>
      </c>
      <c r="G17" s="132">
        <f>(G14*10)/100</f>
        <v>13.93405714285714</v>
      </c>
      <c r="H17" s="124"/>
    </row>
    <row r="18" spans="1:8" ht="16.5" customHeight="1" x14ac:dyDescent="0.2">
      <c r="A18" s="10" t="s">
        <v>466</v>
      </c>
      <c r="B18" s="122">
        <f>(B14*5)/100</f>
        <v>4.6491714285714281</v>
      </c>
      <c r="C18" s="122"/>
      <c r="D18" s="69"/>
      <c r="F18" s="10" t="s">
        <v>466</v>
      </c>
      <c r="G18" s="132">
        <f>(G14*5)/100</f>
        <v>6.9670285714285702</v>
      </c>
      <c r="H18" s="124"/>
    </row>
    <row r="19" spans="1:8" ht="16.5" customHeight="1" x14ac:dyDescent="0.2">
      <c r="A19" s="68" t="s">
        <v>467</v>
      </c>
      <c r="B19" s="132">
        <f>(B15*10)/100</f>
        <v>10.125257142857143</v>
      </c>
      <c r="C19" s="122"/>
      <c r="D19" s="69"/>
      <c r="F19" s="68" t="s">
        <v>467</v>
      </c>
      <c r="G19" s="132">
        <f>(G15*10)/100</f>
        <v>15.075257142857142</v>
      </c>
      <c r="H19" s="124"/>
    </row>
    <row r="20" spans="1:8" ht="16.5" customHeight="1" x14ac:dyDescent="0.2">
      <c r="A20" s="10" t="s">
        <v>468</v>
      </c>
      <c r="B20" s="122">
        <f>(B15*5)/100</f>
        <v>5.0626285714285713</v>
      </c>
      <c r="C20" s="122"/>
      <c r="D20" s="69"/>
      <c r="F20" s="10" t="s">
        <v>468</v>
      </c>
      <c r="G20" s="132">
        <f>(G15*5)/100</f>
        <v>7.5376285714285709</v>
      </c>
      <c r="H20" s="124"/>
    </row>
    <row r="21" spans="1:8" ht="16.5" customHeight="1" x14ac:dyDescent="0.2">
      <c r="A21" s="68" t="s">
        <v>469</v>
      </c>
      <c r="B21" s="132">
        <f>(B16*10)/100</f>
        <v>4.0119999999999996</v>
      </c>
      <c r="C21" s="122"/>
      <c r="D21" s="69"/>
      <c r="F21" s="68" t="s">
        <v>469</v>
      </c>
      <c r="G21" s="132">
        <f>(G16*10)/100</f>
        <v>5.7798571428571428</v>
      </c>
      <c r="H21" s="122"/>
    </row>
    <row r="22" spans="1:8" ht="16.5" customHeight="1" x14ac:dyDescent="0.2">
      <c r="A22" s="10" t="s">
        <v>470</v>
      </c>
      <c r="B22" s="122">
        <f>(B16*5)/100</f>
        <v>2.0059999999999998</v>
      </c>
      <c r="C22" s="122"/>
      <c r="F22" s="10" t="s">
        <v>470</v>
      </c>
      <c r="G22" s="122">
        <f>(G16*5)/100</f>
        <v>2.8899285714285714</v>
      </c>
      <c r="H22" s="122"/>
    </row>
    <row r="23" spans="1:8" ht="16.5" customHeight="1" x14ac:dyDescent="0.2">
      <c r="A23" s="135" t="s">
        <v>447</v>
      </c>
      <c r="B23" s="136">
        <f>B14+B17+B18</f>
        <v>106.93094285714284</v>
      </c>
      <c r="C23" s="122"/>
      <c r="D23" s="140"/>
      <c r="F23" s="135" t="s">
        <v>447</v>
      </c>
      <c r="G23" s="136">
        <f>G14+G17+G18</f>
        <v>160.24165714285712</v>
      </c>
      <c r="H23" s="122"/>
    </row>
    <row r="24" spans="1:8" ht="16.5" customHeight="1" x14ac:dyDescent="0.2">
      <c r="A24" s="135" t="s">
        <v>445</v>
      </c>
      <c r="B24" s="136">
        <f>B15+B19+B20</f>
        <v>116.44045714285714</v>
      </c>
      <c r="C24" s="122"/>
      <c r="D24" s="140"/>
      <c r="F24" s="135" t="s">
        <v>445</v>
      </c>
      <c r="G24" s="136">
        <f>G15+G19+G20</f>
        <v>173.36545714285714</v>
      </c>
      <c r="H24" s="122"/>
    </row>
    <row r="25" spans="1:8" ht="16.5" customHeight="1" x14ac:dyDescent="0.2">
      <c r="A25" s="135" t="s">
        <v>446</v>
      </c>
      <c r="B25" s="136">
        <f>B16+B21+B22</f>
        <v>46.137999999999998</v>
      </c>
      <c r="C25" s="122"/>
      <c r="D25" s="140"/>
      <c r="F25" s="135" t="s">
        <v>446</v>
      </c>
      <c r="G25" s="136">
        <f>G16+G21+G22</f>
        <v>66.468357142857144</v>
      </c>
      <c r="H25" s="122"/>
    </row>
    <row r="26" spans="1:8" ht="16.5" customHeight="1" x14ac:dyDescent="0.2">
      <c r="A26" s="139" t="s">
        <v>453</v>
      </c>
      <c r="B26" s="138">
        <f>C4*10%</f>
        <v>22</v>
      </c>
      <c r="C26" s="122"/>
      <c r="D26" s="140"/>
      <c r="F26" s="139" t="s">
        <v>453</v>
      </c>
      <c r="G26" s="138">
        <f>H4*10%</f>
        <v>22</v>
      </c>
      <c r="H26" s="122"/>
    </row>
    <row r="27" spans="1:8" ht="16.5" customHeight="1" x14ac:dyDescent="0.2">
      <c r="A27" s="139" t="s">
        <v>454</v>
      </c>
      <c r="B27" s="136"/>
      <c r="C27" s="122"/>
      <c r="D27" s="140"/>
      <c r="F27" s="139" t="s">
        <v>454</v>
      </c>
      <c r="G27" s="136"/>
      <c r="H27" s="122"/>
    </row>
    <row r="28" spans="1:8" ht="16.5" customHeight="1" x14ac:dyDescent="0.2">
      <c r="A28" s="139" t="s">
        <v>451</v>
      </c>
      <c r="B28" s="136">
        <f>C5*10%</f>
        <v>16.5</v>
      </c>
      <c r="C28" s="122"/>
      <c r="D28" s="140"/>
      <c r="F28" s="139" t="s">
        <v>451</v>
      </c>
      <c r="G28" s="136">
        <f>H5*10%</f>
        <v>16.5</v>
      </c>
      <c r="H28" s="122"/>
    </row>
    <row r="29" spans="1:8" ht="16.5" customHeight="1" x14ac:dyDescent="0.2">
      <c r="A29" s="139" t="s">
        <v>452</v>
      </c>
      <c r="B29" s="136"/>
      <c r="C29" s="122"/>
      <c r="D29" s="140"/>
      <c r="F29" s="139" t="s">
        <v>452</v>
      </c>
      <c r="G29" s="136"/>
      <c r="H29" s="122"/>
    </row>
    <row r="30" spans="1:8" ht="16.5" customHeight="1" x14ac:dyDescent="0.2">
      <c r="A30" s="135" t="s">
        <v>448</v>
      </c>
      <c r="B30" s="136">
        <f>B23+B26</f>
        <v>128.93094285714284</v>
      </c>
      <c r="C30" s="122"/>
      <c r="D30" s="140"/>
      <c r="F30" s="135" t="s">
        <v>448</v>
      </c>
      <c r="G30" s="136">
        <f>G23+G26</f>
        <v>182.24165714285712</v>
      </c>
      <c r="H30" s="122"/>
    </row>
    <row r="31" spans="1:8" ht="16.5" customHeight="1" x14ac:dyDescent="0.2">
      <c r="A31" s="135" t="s">
        <v>449</v>
      </c>
      <c r="B31" s="136">
        <f>B24+B26</f>
        <v>138.44045714285716</v>
      </c>
      <c r="C31" s="122"/>
      <c r="D31" s="140"/>
      <c r="F31" s="135" t="s">
        <v>449</v>
      </c>
      <c r="G31" s="136">
        <f>G24+G26</f>
        <v>195.36545714285714</v>
      </c>
      <c r="H31" s="122"/>
    </row>
    <row r="32" spans="1:8" ht="16.5" customHeight="1" x14ac:dyDescent="0.2">
      <c r="A32" s="135" t="s">
        <v>450</v>
      </c>
      <c r="B32" s="136">
        <f>B25+B28</f>
        <v>62.637999999999998</v>
      </c>
      <c r="C32" s="122"/>
      <c r="D32" s="140"/>
      <c r="F32" s="135" t="s">
        <v>450</v>
      </c>
      <c r="G32" s="136">
        <f>G25+G28</f>
        <v>82.968357142857144</v>
      </c>
      <c r="H32" s="122"/>
    </row>
    <row r="33" spans="1:9" ht="16.5" customHeight="1" x14ac:dyDescent="0.2">
      <c r="A33" s="139" t="s">
        <v>455</v>
      </c>
      <c r="B33" s="138">
        <f>C4-B30</f>
        <v>91.069057142857162</v>
      </c>
      <c r="C33" s="122"/>
      <c r="F33" s="139" t="s">
        <v>298</v>
      </c>
      <c r="G33" s="138">
        <f>H4-G30</f>
        <v>37.758342857142878</v>
      </c>
      <c r="H33" s="122"/>
    </row>
    <row r="34" spans="1:9" ht="16.5" customHeight="1" x14ac:dyDescent="0.2">
      <c r="A34" s="139" t="s">
        <v>456</v>
      </c>
      <c r="B34" s="138">
        <f>C4-B31</f>
        <v>81.559542857142844</v>
      </c>
      <c r="C34" s="122"/>
      <c r="F34" s="139" t="s">
        <v>297</v>
      </c>
      <c r="G34" s="138">
        <f>H4-G31</f>
        <v>24.634542857142861</v>
      </c>
      <c r="H34" s="122"/>
    </row>
    <row r="35" spans="1:9" ht="16.5" customHeight="1" x14ac:dyDescent="0.2">
      <c r="A35" s="139" t="s">
        <v>457</v>
      </c>
      <c r="B35" s="138">
        <f>C5-B32</f>
        <v>102.36199999999999</v>
      </c>
      <c r="C35" s="122"/>
      <c r="F35" s="139" t="s">
        <v>304</v>
      </c>
      <c r="G35" s="138">
        <f>H5-G32</f>
        <v>82.031642857142856</v>
      </c>
      <c r="H35" s="122"/>
    </row>
    <row r="36" spans="1:9" ht="9" customHeight="1" x14ac:dyDescent="0.2">
      <c r="A36" s="139"/>
      <c r="B36" s="138"/>
      <c r="C36" s="122"/>
      <c r="F36" s="68"/>
      <c r="G36" s="138"/>
      <c r="H36" s="122"/>
    </row>
    <row r="37" spans="1:9" ht="16.5" customHeight="1" x14ac:dyDescent="0.2">
      <c r="A37" s="139" t="s">
        <v>458</v>
      </c>
      <c r="B37" s="138">
        <f>B30*130%</f>
        <v>167.61022571428569</v>
      </c>
      <c r="C37" s="122"/>
      <c r="F37" s="139" t="s">
        <v>458</v>
      </c>
      <c r="G37" s="138">
        <f>G30*130%</f>
        <v>236.91415428571426</v>
      </c>
      <c r="H37" s="211">
        <v>240</v>
      </c>
      <c r="I37" s="210"/>
    </row>
    <row r="38" spans="1:9" ht="16.5" customHeight="1" x14ac:dyDescent="0.2">
      <c r="A38" s="139" t="s">
        <v>459</v>
      </c>
      <c r="B38" s="138">
        <f>B31*130%</f>
        <v>179.97259428571431</v>
      </c>
      <c r="C38" s="122"/>
      <c r="F38" s="139" t="s">
        <v>513</v>
      </c>
      <c r="G38" s="138">
        <f>G31*130%</f>
        <v>253.97509428571428</v>
      </c>
      <c r="H38" s="211">
        <v>270</v>
      </c>
      <c r="I38" s="210"/>
    </row>
    <row r="39" spans="1:9" ht="16.5" customHeight="1" x14ac:dyDescent="0.2">
      <c r="A39" s="139" t="s">
        <v>460</v>
      </c>
      <c r="B39" s="138">
        <f>B32*130%</f>
        <v>81.429400000000001</v>
      </c>
      <c r="C39" s="122"/>
      <c r="F39" s="139" t="s">
        <v>460</v>
      </c>
      <c r="G39" s="138">
        <f>G32*130%</f>
        <v>107.85886428571429</v>
      </c>
      <c r="H39" s="211">
        <v>110</v>
      </c>
      <c r="I39" s="210"/>
    </row>
    <row r="40" spans="1:9" ht="18" customHeight="1" x14ac:dyDescent="0.25">
      <c r="A40" s="119"/>
      <c r="B40" s="137"/>
      <c r="C40" s="122"/>
    </row>
    <row r="41" spans="1:9" ht="17.25" customHeight="1" x14ac:dyDescent="0.25">
      <c r="A41" s="119" t="s">
        <v>311</v>
      </c>
      <c r="B41" s="16"/>
      <c r="C41" s="124">
        <v>220</v>
      </c>
    </row>
    <row r="42" spans="1:9" ht="15.75" x14ac:dyDescent="0.25">
      <c r="A42" s="68" t="s">
        <v>374</v>
      </c>
      <c r="B42" s="131">
        <f>1.5*2</f>
        <v>3</v>
      </c>
      <c r="C42" s="122"/>
      <c r="D42" s="69"/>
      <c r="I42" s="125"/>
    </row>
    <row r="43" spans="1:9" ht="16.5" customHeight="1" x14ac:dyDescent="0.2">
      <c r="A43" s="68" t="s">
        <v>294</v>
      </c>
      <c r="B43" s="131">
        <f>1.353*4</f>
        <v>5.4119999999999999</v>
      </c>
      <c r="C43" s="122"/>
    </row>
    <row r="44" spans="1:9" ht="16.5" customHeight="1" x14ac:dyDescent="0.2">
      <c r="A44" s="68" t="s">
        <v>295</v>
      </c>
      <c r="B44" s="131">
        <f>1.353*8</f>
        <v>10.824</v>
      </c>
      <c r="C44" s="122"/>
    </row>
    <row r="45" spans="1:9" ht="25.5" x14ac:dyDescent="0.2">
      <c r="A45" s="68" t="s">
        <v>375</v>
      </c>
      <c r="B45" s="132">
        <f>(30*1.7)</f>
        <v>51</v>
      </c>
      <c r="C45" s="122"/>
      <c r="D45" s="69"/>
    </row>
    <row r="46" spans="1:9" ht="15" customHeight="1" x14ac:dyDescent="0.2">
      <c r="A46" s="68" t="s">
        <v>376</v>
      </c>
      <c r="B46" s="132">
        <f>(30*1.9)</f>
        <v>57</v>
      </c>
      <c r="C46" s="122"/>
      <c r="D46" s="69"/>
    </row>
    <row r="47" spans="1:9" ht="15" customHeight="1" x14ac:dyDescent="0.2">
      <c r="A47" s="68" t="s">
        <v>312</v>
      </c>
      <c r="B47" s="132">
        <f>27.5*2</f>
        <v>55</v>
      </c>
      <c r="C47" s="122"/>
    </row>
    <row r="48" spans="1:9" ht="15" customHeight="1" x14ac:dyDescent="0.2">
      <c r="A48" s="141" t="s">
        <v>501</v>
      </c>
      <c r="B48" s="122">
        <f>2000*0.035</f>
        <v>70</v>
      </c>
      <c r="C48" s="124">
        <f>2000*0.16</f>
        <v>320</v>
      </c>
    </row>
    <row r="49" spans="1:3" ht="15" customHeight="1" x14ac:dyDescent="0.2">
      <c r="A49" s="141" t="s">
        <v>502</v>
      </c>
      <c r="B49" s="122">
        <f>2000*0.085</f>
        <v>170</v>
      </c>
      <c r="C49" s="124">
        <f>2000*0.22</f>
        <v>440</v>
      </c>
    </row>
    <row r="50" spans="1:3" ht="15" customHeight="1" x14ac:dyDescent="0.2">
      <c r="A50" s="141" t="s">
        <v>409</v>
      </c>
      <c r="B50" s="122">
        <v>40</v>
      </c>
      <c r="C50" s="124"/>
    </row>
    <row r="51" spans="1:3" ht="15" customHeight="1" x14ac:dyDescent="0.2">
      <c r="A51" s="160" t="s">
        <v>461</v>
      </c>
      <c r="B51" s="200">
        <f>B42+B43+B45+B47+B48+B50</f>
        <v>224.41200000000001</v>
      </c>
      <c r="C51" s="122"/>
    </row>
    <row r="52" spans="1:3" ht="15" customHeight="1" x14ac:dyDescent="0.2">
      <c r="A52" s="160" t="s">
        <v>464</v>
      </c>
      <c r="B52" s="200">
        <f>B42+B43+B45+B47+B49+B50</f>
        <v>324.41200000000003</v>
      </c>
      <c r="C52" s="122"/>
    </row>
    <row r="53" spans="1:3" ht="15" customHeight="1" x14ac:dyDescent="0.2">
      <c r="A53" s="160" t="s">
        <v>463</v>
      </c>
      <c r="B53" s="200">
        <f>B42+B44+B46+B47+B48+B50</f>
        <v>235.82400000000001</v>
      </c>
      <c r="C53" s="122"/>
    </row>
    <row r="54" spans="1:3" ht="15" customHeight="1" x14ac:dyDescent="0.2">
      <c r="A54" s="160" t="s">
        <v>462</v>
      </c>
      <c r="B54" s="200">
        <f>B42+B44+B46+B47+B49+B50</f>
        <v>335.82400000000001</v>
      </c>
      <c r="C54" s="122"/>
    </row>
    <row r="55" spans="1:3" ht="15" customHeight="1" x14ac:dyDescent="0.2">
      <c r="A55" s="68" t="s">
        <v>471</v>
      </c>
      <c r="B55" s="132">
        <f>(B51*10)/100</f>
        <v>22.441199999999998</v>
      </c>
      <c r="C55" s="122"/>
    </row>
    <row r="56" spans="1:3" ht="15" customHeight="1" x14ac:dyDescent="0.2">
      <c r="A56" s="10" t="s">
        <v>472</v>
      </c>
      <c r="B56" s="122">
        <f>(B51*5)/100</f>
        <v>11.220599999999999</v>
      </c>
      <c r="C56" s="122"/>
    </row>
    <row r="57" spans="1:3" ht="15" customHeight="1" x14ac:dyDescent="0.2">
      <c r="A57" s="68" t="s">
        <v>473</v>
      </c>
      <c r="B57" s="132">
        <f>(B52*10)/100</f>
        <v>32.441200000000002</v>
      </c>
      <c r="C57" s="122"/>
    </row>
    <row r="58" spans="1:3" ht="15" customHeight="1" x14ac:dyDescent="0.2">
      <c r="A58" s="10" t="s">
        <v>474</v>
      </c>
      <c r="B58" s="122">
        <f>(B52*5)/100</f>
        <v>16.220600000000001</v>
      </c>
      <c r="C58" s="122"/>
    </row>
    <row r="59" spans="1:3" ht="15" customHeight="1" x14ac:dyDescent="0.2">
      <c r="A59" s="68" t="s">
        <v>475</v>
      </c>
      <c r="B59" s="132">
        <f>(B53*10)/100</f>
        <v>23.582400000000003</v>
      </c>
      <c r="C59" s="122"/>
    </row>
    <row r="60" spans="1:3" ht="15" customHeight="1" x14ac:dyDescent="0.2">
      <c r="A60" s="10" t="s">
        <v>476</v>
      </c>
      <c r="B60" s="122">
        <f>(B53*5)/100</f>
        <v>11.791200000000002</v>
      </c>
      <c r="C60" s="122"/>
    </row>
    <row r="61" spans="1:3" ht="15" customHeight="1" x14ac:dyDescent="0.2">
      <c r="A61" s="68" t="s">
        <v>477</v>
      </c>
      <c r="B61" s="132">
        <f>(B54*10)/100</f>
        <v>33.5824</v>
      </c>
      <c r="C61" s="122"/>
    </row>
    <row r="62" spans="1:3" ht="15" customHeight="1" x14ac:dyDescent="0.2">
      <c r="A62" s="10" t="s">
        <v>478</v>
      </c>
      <c r="B62" s="122">
        <f>(B54*5)/100</f>
        <v>16.7912</v>
      </c>
      <c r="C62" s="122"/>
    </row>
    <row r="63" spans="1:3" ht="15" customHeight="1" x14ac:dyDescent="0.2">
      <c r="A63" s="135" t="s">
        <v>479</v>
      </c>
      <c r="B63" s="136">
        <f>B51+B55+B56</f>
        <v>258.07380000000001</v>
      </c>
      <c r="C63" s="122"/>
    </row>
    <row r="64" spans="1:3" ht="15" customHeight="1" x14ac:dyDescent="0.2">
      <c r="A64" s="135" t="s">
        <v>480</v>
      </c>
      <c r="B64" s="136">
        <f>B52+B57+B58</f>
        <v>373.07380000000001</v>
      </c>
      <c r="C64" s="122"/>
    </row>
    <row r="65" spans="1:3" ht="15" customHeight="1" x14ac:dyDescent="0.2">
      <c r="A65" s="135" t="s">
        <v>481</v>
      </c>
      <c r="B65" s="136">
        <f>B53+B59+B60</f>
        <v>271.19760000000002</v>
      </c>
      <c r="C65" s="122"/>
    </row>
    <row r="66" spans="1:3" ht="15" customHeight="1" x14ac:dyDescent="0.2">
      <c r="A66" s="135" t="s">
        <v>482</v>
      </c>
      <c r="B66" s="136">
        <f>B54+B61+B62</f>
        <v>386.19760000000002</v>
      </c>
      <c r="C66" s="122"/>
    </row>
    <row r="67" spans="1:3" ht="15" customHeight="1" x14ac:dyDescent="0.2">
      <c r="A67" s="139" t="s">
        <v>491</v>
      </c>
      <c r="B67" s="136">
        <f>(C41+C48)*10%</f>
        <v>54</v>
      </c>
      <c r="C67" s="122"/>
    </row>
    <row r="68" spans="1:3" ht="15" customHeight="1" x14ac:dyDescent="0.2">
      <c r="A68" s="139" t="s">
        <v>492</v>
      </c>
      <c r="B68" s="136"/>
      <c r="C68" s="122"/>
    </row>
    <row r="69" spans="1:3" ht="15" customHeight="1" x14ac:dyDescent="0.2">
      <c r="A69" s="139" t="s">
        <v>493</v>
      </c>
      <c r="B69" s="136">
        <f>(C41+C49)*10%</f>
        <v>66</v>
      </c>
      <c r="C69" s="122"/>
    </row>
    <row r="70" spans="1:3" ht="15" customHeight="1" x14ac:dyDescent="0.2">
      <c r="A70" s="139" t="s">
        <v>494</v>
      </c>
      <c r="B70" s="136"/>
      <c r="C70" s="122"/>
    </row>
    <row r="71" spans="1:3" ht="15" customHeight="1" x14ac:dyDescent="0.2">
      <c r="A71" s="135" t="s">
        <v>495</v>
      </c>
      <c r="B71" s="136">
        <f>B63+B67+B68</f>
        <v>312.07380000000001</v>
      </c>
      <c r="C71" s="122"/>
    </row>
    <row r="72" spans="1:3" ht="15" customHeight="1" x14ac:dyDescent="0.2">
      <c r="A72" s="135" t="s">
        <v>496</v>
      </c>
      <c r="B72" s="136">
        <f>B64+B69+B70</f>
        <v>439.07380000000001</v>
      </c>
      <c r="C72" s="122"/>
    </row>
    <row r="73" spans="1:3" ht="15" customHeight="1" x14ac:dyDescent="0.2">
      <c r="A73" s="135" t="s">
        <v>497</v>
      </c>
      <c r="B73" s="136">
        <f>B65+B67+B68</f>
        <v>325.19760000000002</v>
      </c>
      <c r="C73" s="122"/>
    </row>
    <row r="74" spans="1:3" ht="15" customHeight="1" x14ac:dyDescent="0.2">
      <c r="A74" s="135" t="s">
        <v>498</v>
      </c>
      <c r="B74" s="136">
        <f>B66+B69+B70</f>
        <v>452.19760000000002</v>
      </c>
      <c r="C74" s="122"/>
    </row>
    <row r="75" spans="1:3" ht="15" customHeight="1" x14ac:dyDescent="0.2">
      <c r="A75" s="139" t="s">
        <v>483</v>
      </c>
      <c r="B75" s="138">
        <f>(C41+C48)-B71</f>
        <v>227.92619999999999</v>
      </c>
      <c r="C75" s="122"/>
    </row>
    <row r="76" spans="1:3" ht="15" customHeight="1" x14ac:dyDescent="0.2">
      <c r="A76" s="139" t="s">
        <v>484</v>
      </c>
      <c r="B76" s="138">
        <f>(C41+C49)-B72</f>
        <v>220.92619999999999</v>
      </c>
      <c r="C76" s="122"/>
    </row>
    <row r="77" spans="1:3" ht="15" customHeight="1" x14ac:dyDescent="0.2">
      <c r="A77" s="139" t="s">
        <v>485</v>
      </c>
      <c r="B77" s="138">
        <f>(C41+C48)-B73</f>
        <v>214.80239999999998</v>
      </c>
      <c r="C77" s="122"/>
    </row>
    <row r="78" spans="1:3" ht="15" customHeight="1" x14ac:dyDescent="0.2">
      <c r="A78" s="68" t="s">
        <v>486</v>
      </c>
      <c r="B78" s="132">
        <f>(C41+C49)-B74</f>
        <v>207.80239999999998</v>
      </c>
      <c r="C78" s="10"/>
    </row>
    <row r="79" spans="1:3" ht="9" customHeight="1" x14ac:dyDescent="0.2">
      <c r="A79" s="68"/>
      <c r="B79" s="132"/>
      <c r="C79" s="10"/>
    </row>
    <row r="80" spans="1:3" ht="15" customHeight="1" x14ac:dyDescent="0.2">
      <c r="A80" s="139" t="s">
        <v>487</v>
      </c>
      <c r="B80" s="138">
        <f>B71*130%</f>
        <v>405.69594000000001</v>
      </c>
      <c r="C80" s="10"/>
    </row>
    <row r="81" spans="1:8" ht="15" customHeight="1" x14ac:dyDescent="0.2">
      <c r="A81" s="139" t="s">
        <v>488</v>
      </c>
      <c r="B81" s="138">
        <f>B72*130%</f>
        <v>570.79593999999997</v>
      </c>
      <c r="C81" s="10"/>
    </row>
    <row r="82" spans="1:8" ht="15" customHeight="1" x14ac:dyDescent="0.2">
      <c r="A82" s="139" t="s">
        <v>489</v>
      </c>
      <c r="B82" s="138">
        <f>B73*130%</f>
        <v>422.75688000000002</v>
      </c>
      <c r="C82" s="10"/>
    </row>
    <row r="83" spans="1:8" ht="15" customHeight="1" x14ac:dyDescent="0.2">
      <c r="A83" s="139" t="s">
        <v>490</v>
      </c>
      <c r="B83" s="138">
        <f>B74*130%</f>
        <v>587.85688000000005</v>
      </c>
      <c r="C83" s="10"/>
    </row>
    <row r="84" spans="1:8" ht="15" customHeight="1" x14ac:dyDescent="0.2">
      <c r="A84" s="68"/>
      <c r="B84" s="132"/>
      <c r="C84" s="10"/>
    </row>
    <row r="85" spans="1:8" ht="15" customHeight="1" x14ac:dyDescent="0.2">
      <c r="A85" s="139"/>
      <c r="B85" s="132"/>
      <c r="C85" s="10"/>
    </row>
    <row r="86" spans="1:8" ht="15" customHeight="1" x14ac:dyDescent="0.25">
      <c r="A86" s="119" t="s">
        <v>319</v>
      </c>
      <c r="B86" s="16"/>
      <c r="C86" s="124">
        <v>450</v>
      </c>
      <c r="F86" s="119" t="s">
        <v>512</v>
      </c>
      <c r="G86" s="16"/>
      <c r="H86" s="124">
        <f>(150/3)*12</f>
        <v>600</v>
      </c>
    </row>
    <row r="87" spans="1:8" ht="15" customHeight="1" x14ac:dyDescent="0.2">
      <c r="A87" s="68" t="s">
        <v>284</v>
      </c>
      <c r="B87" s="131">
        <f>1.5*2</f>
        <v>3</v>
      </c>
      <c r="C87" s="122"/>
      <c r="F87" s="68" t="s">
        <v>504</v>
      </c>
      <c r="G87" s="131">
        <f>(1.5*1)+1</f>
        <v>2.5</v>
      </c>
      <c r="H87" s="122"/>
    </row>
    <row r="88" spans="1:8" ht="15" customHeight="1" x14ac:dyDescent="0.2">
      <c r="A88" s="68" t="s">
        <v>294</v>
      </c>
      <c r="B88" s="131">
        <f>1.353*4</f>
        <v>5.4119999999999999</v>
      </c>
      <c r="C88" s="122"/>
      <c r="F88" s="68" t="s">
        <v>326</v>
      </c>
      <c r="G88" s="131">
        <f>(0.7*1.353)*12</f>
        <v>11.3652</v>
      </c>
      <c r="H88" s="122"/>
    </row>
    <row r="89" spans="1:8" ht="15" customHeight="1" x14ac:dyDescent="0.2">
      <c r="A89" s="68" t="s">
        <v>293</v>
      </c>
      <c r="B89" s="132">
        <f>(30*1.7)</f>
        <v>51</v>
      </c>
      <c r="C89" s="122"/>
      <c r="F89" s="68" t="s">
        <v>403</v>
      </c>
      <c r="G89" s="131">
        <f>(150*1.2)</f>
        <v>180</v>
      </c>
      <c r="H89" s="122"/>
    </row>
    <row r="90" spans="1:8" ht="15" customHeight="1" x14ac:dyDescent="0.2">
      <c r="A90" s="68" t="s">
        <v>322</v>
      </c>
      <c r="B90" s="132">
        <f>(30*0.8)</f>
        <v>24</v>
      </c>
      <c r="C90" s="122"/>
      <c r="F90" s="68" t="s">
        <v>329</v>
      </c>
      <c r="G90" s="131">
        <f>(27.5*8)</f>
        <v>220</v>
      </c>
      <c r="H90" s="122"/>
    </row>
    <row r="91" spans="1:8" ht="15" customHeight="1" x14ac:dyDescent="0.2">
      <c r="A91" s="68" t="s">
        <v>321</v>
      </c>
      <c r="B91" s="132">
        <f>(27.5*2)*2</f>
        <v>110</v>
      </c>
      <c r="C91" s="122"/>
      <c r="F91" s="141" t="s">
        <v>325</v>
      </c>
      <c r="G91" s="122">
        <f>(40*0.035)*12</f>
        <v>16.8</v>
      </c>
      <c r="H91" s="124"/>
    </row>
    <row r="92" spans="1:8" ht="15" customHeight="1" x14ac:dyDescent="0.2">
      <c r="A92" s="160" t="s">
        <v>426</v>
      </c>
      <c r="B92" s="200">
        <f>B87+B88+B89+B91</f>
        <v>169.41200000000001</v>
      </c>
      <c r="C92" s="122"/>
      <c r="F92" s="199" t="s">
        <v>328</v>
      </c>
      <c r="G92" s="122"/>
      <c r="H92" s="122"/>
    </row>
    <row r="93" spans="1:8" ht="15" customHeight="1" x14ac:dyDescent="0.2">
      <c r="A93" s="68" t="s">
        <v>437</v>
      </c>
      <c r="B93" s="132">
        <f>(B92*10)/100</f>
        <v>16.941200000000002</v>
      </c>
      <c r="C93" s="122"/>
      <c r="F93" s="135" t="s">
        <v>506</v>
      </c>
      <c r="G93" s="136">
        <f>SUM(G87:G92)</f>
        <v>430.66519999999997</v>
      </c>
      <c r="H93" s="122"/>
    </row>
    <row r="94" spans="1:8" ht="15" customHeight="1" x14ac:dyDescent="0.2">
      <c r="A94" s="10" t="s">
        <v>438</v>
      </c>
      <c r="B94" s="122">
        <f>(B92*5)/100</f>
        <v>8.470600000000001</v>
      </c>
      <c r="C94" s="122"/>
      <c r="F94" s="68" t="s">
        <v>437</v>
      </c>
      <c r="G94" s="132">
        <f>(G93*10)/100</f>
        <v>43.066519999999997</v>
      </c>
      <c r="H94" s="122"/>
    </row>
    <row r="95" spans="1:8" ht="15" customHeight="1" x14ac:dyDescent="0.2">
      <c r="A95" s="135" t="s">
        <v>324</v>
      </c>
      <c r="B95" s="136">
        <f>SUM(B92:B94)</f>
        <v>194.82380000000001</v>
      </c>
      <c r="C95" s="122"/>
      <c r="F95" s="10" t="s">
        <v>438</v>
      </c>
      <c r="G95" s="122">
        <f>(G93*5)/100</f>
        <v>21.533259999999999</v>
      </c>
      <c r="H95" s="122"/>
    </row>
    <row r="96" spans="1:8" ht="15" customHeight="1" x14ac:dyDescent="0.2">
      <c r="A96" s="139" t="s">
        <v>276</v>
      </c>
      <c r="B96" s="136">
        <f>C86*10%</f>
        <v>45</v>
      </c>
      <c r="C96" s="122"/>
      <c r="F96" s="118" t="s">
        <v>289</v>
      </c>
      <c r="G96" s="124">
        <f>SUM(G93:G95)</f>
        <v>495.26497999999998</v>
      </c>
      <c r="H96" s="122"/>
    </row>
    <row r="97" spans="1:9" ht="15" customHeight="1" x14ac:dyDescent="0.2">
      <c r="A97" s="139" t="s">
        <v>428</v>
      </c>
      <c r="B97" s="136"/>
      <c r="C97" s="122"/>
      <c r="F97" s="10" t="s">
        <v>276</v>
      </c>
      <c r="G97" s="129">
        <f>(H86*10)/100</f>
        <v>60</v>
      </c>
      <c r="H97" s="122"/>
    </row>
    <row r="98" spans="1:9" ht="15" customHeight="1" x14ac:dyDescent="0.2">
      <c r="A98" s="135" t="s">
        <v>500</v>
      </c>
      <c r="B98" s="136">
        <f>B95+B96+B97</f>
        <v>239.82380000000001</v>
      </c>
      <c r="C98" s="122"/>
      <c r="F98" s="141" t="s">
        <v>428</v>
      </c>
      <c r="G98" s="129"/>
      <c r="H98" s="122"/>
    </row>
    <row r="99" spans="1:9" ht="15" customHeight="1" x14ac:dyDescent="0.2">
      <c r="A99" s="139" t="s">
        <v>499</v>
      </c>
      <c r="B99" s="138">
        <f>C86-B98</f>
        <v>210.17619999999999</v>
      </c>
      <c r="C99" s="122"/>
      <c r="F99" s="135" t="s">
        <v>500</v>
      </c>
      <c r="G99" s="136">
        <f>SUM(G96:G98)</f>
        <v>555.26497999999992</v>
      </c>
      <c r="H99" s="122"/>
    </row>
    <row r="100" spans="1:9" ht="14.25" customHeight="1" x14ac:dyDescent="0.2">
      <c r="A100" s="139"/>
      <c r="B100" s="138"/>
      <c r="C100" s="122"/>
      <c r="F100" s="139" t="s">
        <v>323</v>
      </c>
      <c r="G100" s="138">
        <f>H86-G99</f>
        <v>44.735020000000077</v>
      </c>
      <c r="H100" s="122"/>
    </row>
    <row r="101" spans="1:9" ht="15" customHeight="1" x14ac:dyDescent="0.2">
      <c r="A101" s="139" t="s">
        <v>441</v>
      </c>
      <c r="B101" s="138">
        <f>B98*130%</f>
        <v>311.77094</v>
      </c>
      <c r="C101" s="122"/>
      <c r="F101" s="139"/>
      <c r="G101" s="138"/>
      <c r="H101" s="122"/>
    </row>
    <row r="102" spans="1:9" ht="15" customHeight="1" x14ac:dyDescent="0.2">
      <c r="A102" s="139"/>
      <c r="B102" s="138"/>
      <c r="C102" s="122"/>
      <c r="F102" s="139" t="s">
        <v>441</v>
      </c>
      <c r="G102" s="138">
        <f>G99*130%</f>
        <v>721.84447399999988</v>
      </c>
      <c r="H102" s="122"/>
    </row>
    <row r="103" spans="1:9" ht="15" customHeight="1" x14ac:dyDescent="0.25">
      <c r="A103" s="119" t="s">
        <v>327</v>
      </c>
      <c r="B103" s="16"/>
      <c r="C103" s="124">
        <f>(150/3)*10</f>
        <v>500</v>
      </c>
      <c r="F103" s="119" t="s">
        <v>402</v>
      </c>
      <c r="G103" s="16"/>
      <c r="H103" s="124">
        <f>(150/3)*15</f>
        <v>750</v>
      </c>
    </row>
    <row r="104" spans="1:9" ht="15" customHeight="1" x14ac:dyDescent="0.2">
      <c r="A104" s="68" t="s">
        <v>503</v>
      </c>
      <c r="B104" s="131">
        <f>(1.5*1)+1</f>
        <v>2.5</v>
      </c>
      <c r="C104" s="122"/>
      <c r="D104" s="69"/>
      <c r="F104" s="68" t="s">
        <v>504</v>
      </c>
      <c r="G104" s="131">
        <f>(1.5*1)+1</f>
        <v>2.5</v>
      </c>
      <c r="H104" s="122"/>
      <c r="I104" s="69"/>
    </row>
    <row r="105" spans="1:9" ht="15" customHeight="1" x14ac:dyDescent="0.2">
      <c r="A105" s="68" t="s">
        <v>326</v>
      </c>
      <c r="B105" s="131">
        <f>(0.7*1.353)*10</f>
        <v>9.4710000000000001</v>
      </c>
      <c r="C105" s="122"/>
      <c r="F105" s="68" t="s">
        <v>326</v>
      </c>
      <c r="G105" s="131">
        <f>(0.7*1.353)*15</f>
        <v>14.206499999999998</v>
      </c>
      <c r="H105" s="122"/>
    </row>
    <row r="106" spans="1:9" ht="15" customHeight="1" x14ac:dyDescent="0.2">
      <c r="A106" s="68" t="s">
        <v>403</v>
      </c>
      <c r="B106" s="131">
        <f>(150*1.2)</f>
        <v>180</v>
      </c>
      <c r="C106" s="122"/>
      <c r="D106" s="69"/>
      <c r="F106" s="68" t="s">
        <v>403</v>
      </c>
      <c r="G106" s="131">
        <f>(150*1.2)</f>
        <v>180</v>
      </c>
      <c r="H106" s="122"/>
      <c r="I106" s="69"/>
    </row>
    <row r="107" spans="1:9" ht="15" customHeight="1" x14ac:dyDescent="0.2">
      <c r="A107" s="68" t="s">
        <v>329</v>
      </c>
      <c r="B107" s="131">
        <f>(27.5*8)</f>
        <v>220</v>
      </c>
      <c r="C107" s="122"/>
      <c r="F107" s="68" t="s">
        <v>329</v>
      </c>
      <c r="G107" s="131">
        <f>(27.5*8)</f>
        <v>220</v>
      </c>
      <c r="H107" s="122"/>
    </row>
    <row r="108" spans="1:9" ht="15" customHeight="1" x14ac:dyDescent="0.2">
      <c r="A108" s="141" t="s">
        <v>325</v>
      </c>
      <c r="B108" s="122">
        <f>(40*0.035)*10</f>
        <v>14.000000000000002</v>
      </c>
      <c r="C108" s="124"/>
      <c r="F108" s="141" t="s">
        <v>325</v>
      </c>
      <c r="G108" s="122">
        <f>(40*0.035)*15</f>
        <v>21.000000000000004</v>
      </c>
      <c r="H108" s="124"/>
    </row>
    <row r="109" spans="1:9" ht="15" customHeight="1" x14ac:dyDescent="0.2">
      <c r="A109" s="199" t="s">
        <v>328</v>
      </c>
      <c r="B109" s="122"/>
      <c r="C109" s="122"/>
      <c r="F109" s="199" t="s">
        <v>328</v>
      </c>
      <c r="G109" s="122"/>
      <c r="H109" s="122"/>
    </row>
    <row r="110" spans="1:9" ht="15" customHeight="1" x14ac:dyDescent="0.2">
      <c r="A110" s="135" t="s">
        <v>506</v>
      </c>
      <c r="B110" s="136">
        <f>SUM(B104:B109)</f>
        <v>425.971</v>
      </c>
      <c r="C110" s="122"/>
      <c r="F110" s="135" t="s">
        <v>506</v>
      </c>
      <c r="G110" s="136">
        <f>SUM(G104:G109)</f>
        <v>437.70650000000001</v>
      </c>
      <c r="H110" s="122"/>
    </row>
    <row r="111" spans="1:9" ht="15" customHeight="1" x14ac:dyDescent="0.2">
      <c r="A111" s="68" t="s">
        <v>437</v>
      </c>
      <c r="B111" s="132">
        <f>(B110*10)/100</f>
        <v>42.597099999999998</v>
      </c>
      <c r="C111" s="122"/>
      <c r="F111" s="68" t="s">
        <v>437</v>
      </c>
      <c r="G111" s="132">
        <f>(G110*10)/100</f>
        <v>43.770650000000003</v>
      </c>
      <c r="H111" s="122"/>
    </row>
    <row r="112" spans="1:9" ht="15" customHeight="1" x14ac:dyDescent="0.2">
      <c r="A112" s="10" t="s">
        <v>438</v>
      </c>
      <c r="B112" s="122">
        <f>(B110*5)/100</f>
        <v>21.298549999999999</v>
      </c>
      <c r="C112" s="122"/>
      <c r="F112" s="10" t="s">
        <v>438</v>
      </c>
      <c r="G112" s="122">
        <f>(G110*5)/100</f>
        <v>21.885325000000002</v>
      </c>
      <c r="H112" s="122"/>
    </row>
    <row r="113" spans="1:8" ht="15" customHeight="1" x14ac:dyDescent="0.2">
      <c r="A113" s="118" t="s">
        <v>289</v>
      </c>
      <c r="B113" s="124">
        <f>SUM(B110:B112)</f>
        <v>489.86664999999999</v>
      </c>
      <c r="C113" s="124"/>
      <c r="D113" s="9"/>
      <c r="E113" s="9"/>
      <c r="F113" s="118" t="s">
        <v>289</v>
      </c>
      <c r="G113" s="124">
        <f>SUM(G110:G112)</f>
        <v>503.36247500000002</v>
      </c>
      <c r="H113" s="122"/>
    </row>
    <row r="114" spans="1:8" ht="15" customHeight="1" x14ac:dyDescent="0.2">
      <c r="A114" s="10" t="s">
        <v>276</v>
      </c>
      <c r="B114" s="129">
        <f>(C103*10)/100</f>
        <v>50</v>
      </c>
      <c r="C114" s="122"/>
      <c r="F114" s="10" t="s">
        <v>276</v>
      </c>
      <c r="G114" s="129">
        <f>(H103*10)/100</f>
        <v>75</v>
      </c>
      <c r="H114" s="122"/>
    </row>
    <row r="115" spans="1:8" ht="15" customHeight="1" x14ac:dyDescent="0.2">
      <c r="A115" s="141" t="s">
        <v>428</v>
      </c>
      <c r="B115" s="129"/>
      <c r="C115" s="122"/>
      <c r="F115" s="141" t="s">
        <v>428</v>
      </c>
      <c r="G115" s="129"/>
      <c r="H115" s="122"/>
    </row>
    <row r="116" spans="1:8" ht="15" customHeight="1" x14ac:dyDescent="0.2">
      <c r="A116" s="135" t="s">
        <v>500</v>
      </c>
      <c r="B116" s="136">
        <f>SUM(B113:B115)</f>
        <v>539.86664999999994</v>
      </c>
      <c r="C116" s="122"/>
      <c r="F116" s="135" t="s">
        <v>500</v>
      </c>
      <c r="G116" s="136">
        <f>SUM(G113:G115)</f>
        <v>578.36247500000002</v>
      </c>
      <c r="H116" s="122"/>
    </row>
    <row r="117" spans="1:8" ht="15" customHeight="1" x14ac:dyDescent="0.2">
      <c r="A117" s="139" t="s">
        <v>323</v>
      </c>
      <c r="B117" s="142">
        <f>C103-B116</f>
        <v>-39.866649999999936</v>
      </c>
      <c r="C117" s="122"/>
      <c r="F117" s="139" t="s">
        <v>323</v>
      </c>
      <c r="G117" s="138">
        <f>H103-G116</f>
        <v>171.63752499999998</v>
      </c>
      <c r="H117" s="122"/>
    </row>
    <row r="118" spans="1:8" ht="15" customHeight="1" x14ac:dyDescent="0.2">
      <c r="A118" s="139"/>
      <c r="B118" s="138"/>
      <c r="C118" s="122"/>
      <c r="F118" s="139"/>
      <c r="G118" s="138"/>
      <c r="H118" s="122"/>
    </row>
    <row r="119" spans="1:8" ht="15" customHeight="1" x14ac:dyDescent="0.2">
      <c r="A119" s="139" t="s">
        <v>441</v>
      </c>
      <c r="B119" s="138">
        <f>B116*130%</f>
        <v>701.82664499999998</v>
      </c>
      <c r="C119" s="122"/>
      <c r="F119" s="139" t="s">
        <v>441</v>
      </c>
      <c r="G119" s="138">
        <f>G116*130%</f>
        <v>751.87121750000006</v>
      </c>
      <c r="H119" s="122"/>
    </row>
    <row r="120" spans="1:8" x14ac:dyDescent="0.2">
      <c r="A120" s="69"/>
      <c r="B120" s="134"/>
      <c r="C120" s="69"/>
    </row>
    <row r="121" spans="1:8" x14ac:dyDescent="0.2">
      <c r="A121" s="69" t="s">
        <v>505</v>
      </c>
      <c r="B121" s="5"/>
      <c r="C121" s="6"/>
    </row>
    <row r="122" spans="1:8" x14ac:dyDescent="0.2">
      <c r="A122" s="7"/>
      <c r="B122" s="5"/>
      <c r="C122" s="6"/>
    </row>
    <row r="123" spans="1:8" x14ac:dyDescent="0.2">
      <c r="A123" s="7"/>
      <c r="B123" s="5"/>
      <c r="C123" s="6"/>
    </row>
    <row r="124" spans="1:8" x14ac:dyDescent="0.2">
      <c r="A124" s="4"/>
      <c r="B124" s="5"/>
      <c r="C124" s="6"/>
    </row>
    <row r="125" spans="1:8" x14ac:dyDescent="0.2">
      <c r="A125" s="4"/>
      <c r="B125" s="5"/>
      <c r="C125" s="6"/>
    </row>
    <row r="126" spans="1:8" x14ac:dyDescent="0.2">
      <c r="A126" s="4"/>
      <c r="B126" s="5"/>
      <c r="C126" s="6"/>
    </row>
    <row r="127" spans="1:8" x14ac:dyDescent="0.2">
      <c r="A127" s="4"/>
      <c r="B127" s="5"/>
      <c r="C127" s="6"/>
    </row>
    <row r="128" spans="1:8" x14ac:dyDescent="0.2">
      <c r="A128" s="7"/>
      <c r="B128" s="5"/>
      <c r="C128" s="6"/>
    </row>
    <row r="129" spans="1:3" x14ac:dyDescent="0.2">
      <c r="A129" s="7"/>
      <c r="B129" s="5"/>
      <c r="C129" s="6"/>
    </row>
    <row r="130" spans="1:3" x14ac:dyDescent="0.2">
      <c r="A130" s="4"/>
      <c r="B130" s="5"/>
      <c r="C130" s="6"/>
    </row>
    <row r="131" spans="1:3" x14ac:dyDescent="0.2">
      <c r="A131" s="4"/>
      <c r="B131" s="5"/>
      <c r="C131" s="6"/>
    </row>
    <row r="132" spans="1:3" x14ac:dyDescent="0.2">
      <c r="A132" s="4"/>
      <c r="B132" s="5"/>
      <c r="C132" s="6"/>
    </row>
    <row r="133" spans="1:3" x14ac:dyDescent="0.2">
      <c r="A133" s="4"/>
      <c r="B133" s="5"/>
      <c r="C133" s="6"/>
    </row>
    <row r="134" spans="1:3" x14ac:dyDescent="0.2">
      <c r="A134" s="4"/>
      <c r="B134" s="5"/>
      <c r="C134" s="6"/>
    </row>
    <row r="135" spans="1:3" x14ac:dyDescent="0.2">
      <c r="A135" s="4"/>
      <c r="B135" s="5"/>
      <c r="C135" s="6"/>
    </row>
    <row r="136" spans="1:3" x14ac:dyDescent="0.2">
      <c r="A136" s="4"/>
      <c r="B136" s="5"/>
      <c r="C136" s="6"/>
    </row>
    <row r="137" spans="1:3" x14ac:dyDescent="0.2">
      <c r="A137" s="4"/>
      <c r="B137" s="5"/>
      <c r="C137" s="6"/>
    </row>
    <row r="138" spans="1:3" x14ac:dyDescent="0.2">
      <c r="A138" s="4"/>
      <c r="B138" s="5"/>
      <c r="C138" s="6"/>
    </row>
    <row r="139" spans="1:3" x14ac:dyDescent="0.2">
      <c r="A139" s="4"/>
      <c r="B139" s="5"/>
      <c r="C139" s="6"/>
    </row>
    <row r="140" spans="1:3" x14ac:dyDescent="0.2">
      <c r="A140" s="4"/>
      <c r="B140" s="5"/>
      <c r="C140" s="6"/>
    </row>
    <row r="141" spans="1:3" x14ac:dyDescent="0.2">
      <c r="A141" s="7"/>
      <c r="B141" s="5"/>
      <c r="C141" s="6"/>
    </row>
    <row r="142" spans="1:3" x14ac:dyDescent="0.2">
      <c r="A142" s="7"/>
      <c r="B142" s="5"/>
      <c r="C142" s="6"/>
    </row>
    <row r="143" spans="1:3" x14ac:dyDescent="0.2">
      <c r="A143" s="4"/>
      <c r="B143" s="5"/>
      <c r="C143" s="6"/>
    </row>
    <row r="144" spans="1:3" x14ac:dyDescent="0.2">
      <c r="A144" s="4"/>
      <c r="B144" s="5"/>
      <c r="C144" s="6"/>
    </row>
    <row r="145" spans="1:3" x14ac:dyDescent="0.2">
      <c r="A145" s="4"/>
      <c r="B145" s="5"/>
      <c r="C145" s="6"/>
    </row>
    <row r="146" spans="1:3" x14ac:dyDescent="0.2">
      <c r="A146" s="4"/>
      <c r="B146" s="5"/>
      <c r="C146" s="6"/>
    </row>
    <row r="147" spans="1:3" x14ac:dyDescent="0.2">
      <c r="A147" s="4"/>
      <c r="B147" s="5"/>
      <c r="C147" s="6"/>
    </row>
    <row r="148" spans="1:3" x14ac:dyDescent="0.2">
      <c r="A148" s="4"/>
      <c r="B148" s="5"/>
      <c r="C148" s="6"/>
    </row>
    <row r="149" spans="1:3" x14ac:dyDescent="0.2">
      <c r="A149" s="4"/>
      <c r="B149" s="5"/>
      <c r="C149" s="6"/>
    </row>
    <row r="150" spans="1:3" x14ac:dyDescent="0.2">
      <c r="A150" s="4"/>
      <c r="B150" s="5"/>
      <c r="C150" s="6"/>
    </row>
    <row r="151" spans="1:3" x14ac:dyDescent="0.2">
      <c r="A151" s="4"/>
      <c r="B151" s="5"/>
      <c r="C151" s="6"/>
    </row>
    <row r="152" spans="1:3" x14ac:dyDescent="0.2">
      <c r="A152" s="4"/>
      <c r="B152" s="5"/>
      <c r="C152" s="6"/>
    </row>
    <row r="153" spans="1:3" x14ac:dyDescent="0.2">
      <c r="A153" s="4"/>
      <c r="B153" s="5"/>
      <c r="C153" s="6"/>
    </row>
    <row r="154" spans="1:3" x14ac:dyDescent="0.2">
      <c r="A154" s="4"/>
      <c r="B154" s="5"/>
      <c r="C154" s="6"/>
    </row>
    <row r="155" spans="1:3" x14ac:dyDescent="0.2">
      <c r="A155" s="4"/>
      <c r="B155" s="5"/>
      <c r="C155" s="6"/>
    </row>
    <row r="156" spans="1:3" x14ac:dyDescent="0.2">
      <c r="A156" s="4"/>
      <c r="B156" s="5"/>
      <c r="C156" s="6"/>
    </row>
    <row r="157" spans="1:3" x14ac:dyDescent="0.2">
      <c r="A157" s="4"/>
      <c r="B157" s="5"/>
      <c r="C157" s="6"/>
    </row>
    <row r="158" spans="1:3" x14ac:dyDescent="0.2">
      <c r="A158" s="7"/>
      <c r="B158" s="5"/>
      <c r="C158" s="6"/>
    </row>
    <row r="159" spans="1:3" x14ac:dyDescent="0.2">
      <c r="A159" s="7"/>
      <c r="B159" s="5"/>
      <c r="C159" s="6"/>
    </row>
    <row r="160" spans="1:3" x14ac:dyDescent="0.2">
      <c r="A160" s="4"/>
      <c r="B160" s="5"/>
      <c r="C160" s="6"/>
    </row>
    <row r="161" spans="1:3" x14ac:dyDescent="0.2">
      <c r="A161" s="4"/>
      <c r="B161" s="5"/>
      <c r="C161" s="6"/>
    </row>
    <row r="162" spans="1:3" x14ac:dyDescent="0.2">
      <c r="A162" s="4"/>
      <c r="B162" s="5"/>
      <c r="C162" s="6"/>
    </row>
    <row r="163" spans="1:3" x14ac:dyDescent="0.2">
      <c r="A163" s="4"/>
      <c r="B163" s="8"/>
      <c r="C163" s="6"/>
    </row>
    <row r="164" spans="1:3" x14ac:dyDescent="0.2">
      <c r="A164" s="4"/>
      <c r="B164" s="8"/>
      <c r="C164" s="6"/>
    </row>
    <row r="165" spans="1:3" x14ac:dyDescent="0.2">
      <c r="B165" s="5"/>
      <c r="C165" s="6"/>
    </row>
    <row r="166" spans="1:3" x14ac:dyDescent="0.2">
      <c r="A166" s="9"/>
      <c r="B166" s="8"/>
      <c r="C166" s="13"/>
    </row>
    <row r="167" spans="1:3" x14ac:dyDescent="0.2">
      <c r="A167" s="9"/>
      <c r="B167" s="5"/>
      <c r="C167" s="6"/>
    </row>
    <row r="169" spans="1:3" x14ac:dyDescent="0.2">
      <c r="A169" s="9"/>
    </row>
  </sheetData>
  <mergeCells count="2">
    <mergeCell ref="A1:C1"/>
    <mergeCell ref="A2:C2"/>
  </mergeCells>
  <printOptions horizontalCentered="1"/>
  <pageMargins left="0.19685039370078741" right="0.11811023622047245" top="1.5354330708661419" bottom="0.74803149606299213" header="0.31496062992125984" footer="0.31496062992125984"/>
  <pageSetup paperSize="8" orientation="landscape" r:id="rId1"/>
  <headerFooter scaleWithDoc="0">
    <oddHeader>&amp;C&amp;G</oddHeader>
  </headerFooter>
  <ignoredErrors>
    <ignoredError sqref="B31 G18 G31" formula="1"/>
  </ignoredError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0"/>
  <sheetViews>
    <sheetView tabSelected="1" workbookViewId="0">
      <selection activeCell="D13" sqref="D13"/>
    </sheetView>
  </sheetViews>
  <sheetFormatPr defaultColWidth="8.85546875" defaultRowHeight="12.75" x14ac:dyDescent="0.2"/>
  <cols>
    <col min="1" max="1" width="58.140625" customWidth="1"/>
    <col min="2" max="2" width="10.140625" style="2" bestFit="1" customWidth="1"/>
    <col min="3" max="3" width="10.85546875" bestFit="1" customWidth="1"/>
  </cols>
  <sheetData>
    <row r="1" spans="1:3" ht="32.25" customHeight="1" x14ac:dyDescent="0.4">
      <c r="A1" s="276" t="s">
        <v>10</v>
      </c>
      <c r="B1" s="277"/>
      <c r="C1" s="278"/>
    </row>
    <row r="2" spans="1:3" ht="21.75" customHeight="1" x14ac:dyDescent="0.2">
      <c r="A2" s="108" t="s">
        <v>213</v>
      </c>
      <c r="B2" s="22">
        <v>530</v>
      </c>
      <c r="C2" s="14" t="s">
        <v>111</v>
      </c>
    </row>
    <row r="3" spans="1:3" ht="21.75" customHeight="1" x14ac:dyDescent="0.2">
      <c r="A3" s="108" t="s">
        <v>214</v>
      </c>
      <c r="B3" s="22">
        <v>450</v>
      </c>
      <c r="C3" s="1" t="s">
        <v>111</v>
      </c>
    </row>
    <row r="4" spans="1:3" ht="19.5" customHeight="1" x14ac:dyDescent="0.2">
      <c r="A4" s="108" t="s">
        <v>272</v>
      </c>
      <c r="B4" s="22">
        <v>180</v>
      </c>
      <c r="C4" s="1" t="s">
        <v>111</v>
      </c>
    </row>
    <row r="5" spans="1:3" ht="19.5" customHeight="1" x14ac:dyDescent="0.2">
      <c r="A5" s="108" t="s">
        <v>271</v>
      </c>
      <c r="B5" s="22">
        <v>250</v>
      </c>
      <c r="C5" s="10" t="s">
        <v>111</v>
      </c>
    </row>
    <row r="6" spans="1:3" ht="19.5" customHeight="1" x14ac:dyDescent="0.2">
      <c r="A6" s="15" t="s">
        <v>601</v>
      </c>
      <c r="B6" s="22">
        <v>550</v>
      </c>
      <c r="C6" s="1" t="s">
        <v>111</v>
      </c>
    </row>
    <row r="7" spans="1:3" ht="19.5" customHeight="1" x14ac:dyDescent="0.2">
      <c r="A7" s="15" t="s">
        <v>602</v>
      </c>
      <c r="B7" s="22">
        <v>600</v>
      </c>
      <c r="C7" s="1" t="s">
        <v>111</v>
      </c>
    </row>
    <row r="8" spans="1:3" ht="21" customHeight="1" x14ac:dyDescent="0.2">
      <c r="A8" s="107" t="s">
        <v>197</v>
      </c>
      <c r="B8" s="21">
        <v>560</v>
      </c>
      <c r="C8" s="1" t="s">
        <v>111</v>
      </c>
    </row>
    <row r="9" spans="1:3" ht="21" customHeight="1" x14ac:dyDescent="0.2">
      <c r="A9" s="107" t="s">
        <v>268</v>
      </c>
      <c r="B9" s="21">
        <v>350</v>
      </c>
      <c r="C9" s="10" t="s">
        <v>111</v>
      </c>
    </row>
    <row r="10" spans="1:3" ht="21" customHeight="1" x14ac:dyDescent="0.2">
      <c r="A10" s="107" t="s">
        <v>269</v>
      </c>
      <c r="B10" s="21">
        <v>520</v>
      </c>
      <c r="C10" s="10" t="s">
        <v>111</v>
      </c>
    </row>
    <row r="11" spans="1:3" ht="21" customHeight="1" x14ac:dyDescent="0.2">
      <c r="A11" s="107" t="s">
        <v>604</v>
      </c>
      <c r="B11" s="21">
        <v>250</v>
      </c>
      <c r="C11" s="1" t="s">
        <v>111</v>
      </c>
    </row>
    <row r="12" spans="1:3" ht="20.25" customHeight="1" x14ac:dyDescent="0.2">
      <c r="A12" s="107" t="s">
        <v>236</v>
      </c>
      <c r="B12" s="21">
        <v>180</v>
      </c>
      <c r="C12" s="1" t="s">
        <v>111</v>
      </c>
    </row>
    <row r="13" spans="1:3" ht="20.25" customHeight="1" x14ac:dyDescent="0.2">
      <c r="A13" s="107" t="s">
        <v>237</v>
      </c>
      <c r="B13" s="21">
        <v>100</v>
      </c>
      <c r="C13" s="100" t="s">
        <v>111</v>
      </c>
    </row>
    <row r="14" spans="1:3" ht="20.25" customHeight="1" x14ac:dyDescent="0.2">
      <c r="A14" s="107" t="s">
        <v>270</v>
      </c>
      <c r="B14" s="21">
        <v>800</v>
      </c>
      <c r="C14" s="117" t="s">
        <v>111</v>
      </c>
    </row>
    <row r="15" spans="1:3" s="70" customFormat="1" ht="21" customHeight="1" x14ac:dyDescent="0.25">
      <c r="A15" s="273" t="s">
        <v>215</v>
      </c>
      <c r="B15" s="274"/>
      <c r="C15" s="275"/>
    </row>
    <row r="16" spans="1:3" x14ac:dyDescent="0.2">
      <c r="A16" s="4"/>
      <c r="B16" s="5"/>
    </row>
    <row r="17" spans="1:2" x14ac:dyDescent="0.2">
      <c r="A17" s="4"/>
      <c r="B17" s="5"/>
    </row>
    <row r="18" spans="1:2" x14ac:dyDescent="0.2">
      <c r="A18" s="4"/>
      <c r="B18" s="5"/>
    </row>
    <row r="19" spans="1:2" x14ac:dyDescent="0.2">
      <c r="A19" s="4"/>
      <c r="B19" s="5"/>
    </row>
    <row r="20" spans="1:2" x14ac:dyDescent="0.2">
      <c r="A20" s="4"/>
      <c r="B20" s="5"/>
    </row>
    <row r="21" spans="1:2" x14ac:dyDescent="0.2">
      <c r="A21" s="4"/>
      <c r="B21" s="5"/>
    </row>
    <row r="22" spans="1:2" x14ac:dyDescent="0.2">
      <c r="A22" s="4"/>
      <c r="B22" s="5"/>
    </row>
    <row r="23" spans="1:2" x14ac:dyDescent="0.2">
      <c r="A23" s="7"/>
      <c r="B23" s="5"/>
    </row>
    <row r="24" spans="1:2" x14ac:dyDescent="0.2">
      <c r="A24" s="7"/>
      <c r="B24" s="5"/>
    </row>
    <row r="25" spans="1:2" x14ac:dyDescent="0.2">
      <c r="A25" s="4"/>
      <c r="B25" s="5"/>
    </row>
    <row r="26" spans="1:2" x14ac:dyDescent="0.2">
      <c r="A26" s="4"/>
      <c r="B26" s="5"/>
    </row>
    <row r="27" spans="1:2" x14ac:dyDescent="0.2">
      <c r="A27" s="4"/>
      <c r="B27" s="5"/>
    </row>
    <row r="28" spans="1:2" x14ac:dyDescent="0.2">
      <c r="A28" s="4"/>
      <c r="B28" s="5"/>
    </row>
    <row r="29" spans="1:2" x14ac:dyDescent="0.2">
      <c r="A29" s="7"/>
      <c r="B29" s="5"/>
    </row>
    <row r="30" spans="1:2" x14ac:dyDescent="0.2">
      <c r="A30" s="7"/>
      <c r="B30" s="5"/>
    </row>
    <row r="31" spans="1:2" x14ac:dyDescent="0.2">
      <c r="A31" s="4"/>
      <c r="B31" s="5"/>
    </row>
    <row r="32" spans="1:2" x14ac:dyDescent="0.2">
      <c r="A32" s="4"/>
      <c r="B32" s="5"/>
    </row>
    <row r="33" spans="1:2" x14ac:dyDescent="0.2">
      <c r="A33" s="4"/>
      <c r="B33" s="5"/>
    </row>
    <row r="34" spans="1:2" x14ac:dyDescent="0.2">
      <c r="A34" s="4"/>
      <c r="B34" s="5"/>
    </row>
    <row r="35" spans="1:2" x14ac:dyDescent="0.2">
      <c r="A35" s="4"/>
      <c r="B35" s="5"/>
    </row>
    <row r="36" spans="1:2" x14ac:dyDescent="0.2">
      <c r="A36" s="4"/>
      <c r="B36" s="5"/>
    </row>
    <row r="37" spans="1:2" x14ac:dyDescent="0.2">
      <c r="A37" s="4"/>
      <c r="B37" s="5"/>
    </row>
    <row r="38" spans="1:2" x14ac:dyDescent="0.2">
      <c r="A38" s="4"/>
      <c r="B38" s="5"/>
    </row>
    <row r="39" spans="1:2" x14ac:dyDescent="0.2">
      <c r="A39" s="4"/>
      <c r="B39" s="5"/>
    </row>
    <row r="40" spans="1:2" x14ac:dyDescent="0.2">
      <c r="A40" s="4"/>
      <c r="B40" s="5"/>
    </row>
    <row r="41" spans="1:2" x14ac:dyDescent="0.2">
      <c r="A41" s="4"/>
      <c r="B41" s="5"/>
    </row>
    <row r="42" spans="1:2" x14ac:dyDescent="0.2">
      <c r="A42" s="7"/>
      <c r="B42" s="5"/>
    </row>
    <row r="43" spans="1:2" x14ac:dyDescent="0.2">
      <c r="A43" s="7"/>
      <c r="B43" s="5"/>
    </row>
    <row r="44" spans="1:2" x14ac:dyDescent="0.2">
      <c r="A44" s="4"/>
      <c r="B44" s="5"/>
    </row>
    <row r="45" spans="1:2" x14ac:dyDescent="0.2">
      <c r="A45" s="4"/>
      <c r="B45" s="5"/>
    </row>
    <row r="46" spans="1:2" x14ac:dyDescent="0.2">
      <c r="A46" s="4"/>
      <c r="B46" s="5"/>
    </row>
    <row r="47" spans="1:2" x14ac:dyDescent="0.2">
      <c r="A47" s="4"/>
      <c r="B47" s="5"/>
    </row>
    <row r="48" spans="1:2" x14ac:dyDescent="0.2">
      <c r="A48" s="4"/>
      <c r="B48" s="5"/>
    </row>
    <row r="49" spans="1:2" x14ac:dyDescent="0.2">
      <c r="A49" s="4"/>
      <c r="B49" s="5"/>
    </row>
    <row r="50" spans="1:2" x14ac:dyDescent="0.2">
      <c r="A50" s="4"/>
      <c r="B50" s="5"/>
    </row>
    <row r="51" spans="1:2" x14ac:dyDescent="0.2">
      <c r="A51" s="4"/>
      <c r="B51" s="5"/>
    </row>
    <row r="52" spans="1:2" x14ac:dyDescent="0.2">
      <c r="A52" s="4"/>
      <c r="B52" s="5"/>
    </row>
    <row r="53" spans="1:2" x14ac:dyDescent="0.2">
      <c r="A53" s="4"/>
      <c r="B53" s="5"/>
    </row>
    <row r="54" spans="1:2" x14ac:dyDescent="0.2">
      <c r="A54" s="4"/>
      <c r="B54" s="5"/>
    </row>
    <row r="55" spans="1:2" x14ac:dyDescent="0.2">
      <c r="A55" s="4"/>
      <c r="B55" s="5"/>
    </row>
    <row r="56" spans="1:2" x14ac:dyDescent="0.2">
      <c r="A56" s="4"/>
      <c r="B56" s="5"/>
    </row>
    <row r="57" spans="1:2" x14ac:dyDescent="0.2">
      <c r="A57" s="4"/>
      <c r="B57" s="5"/>
    </row>
    <row r="58" spans="1:2" x14ac:dyDescent="0.2">
      <c r="A58" s="4"/>
      <c r="B58" s="5"/>
    </row>
    <row r="59" spans="1:2" x14ac:dyDescent="0.2">
      <c r="A59" s="7"/>
      <c r="B59" s="5"/>
    </row>
    <row r="60" spans="1:2" x14ac:dyDescent="0.2">
      <c r="A60" s="7"/>
      <c r="B60" s="5"/>
    </row>
    <row r="61" spans="1:2" x14ac:dyDescent="0.2">
      <c r="A61" s="4"/>
      <c r="B61" s="5"/>
    </row>
    <row r="62" spans="1:2" x14ac:dyDescent="0.2">
      <c r="A62" s="4"/>
      <c r="B62" s="5"/>
    </row>
    <row r="63" spans="1:2" x14ac:dyDescent="0.2">
      <c r="A63" s="4"/>
      <c r="B63" s="5"/>
    </row>
    <row r="64" spans="1:2" x14ac:dyDescent="0.2">
      <c r="A64" s="4"/>
      <c r="B64" s="8"/>
    </row>
    <row r="65" spans="1:2" x14ac:dyDescent="0.2">
      <c r="A65" s="4"/>
      <c r="B65" s="8"/>
    </row>
    <row r="66" spans="1:2" x14ac:dyDescent="0.2">
      <c r="B66" s="5"/>
    </row>
    <row r="67" spans="1:2" x14ac:dyDescent="0.2">
      <c r="A67" s="9"/>
      <c r="B67" s="8"/>
    </row>
    <row r="68" spans="1:2" x14ac:dyDescent="0.2">
      <c r="A68" s="9"/>
      <c r="B68" s="5"/>
    </row>
    <row r="70" spans="1:2" x14ac:dyDescent="0.2">
      <c r="A70" s="9"/>
    </row>
  </sheetData>
  <mergeCells count="2">
    <mergeCell ref="A15:C15"/>
    <mergeCell ref="A1:C1"/>
  </mergeCells>
  <printOptions horizontalCentered="1"/>
  <pageMargins left="3.937007874015748E-2" right="3.937007874015748E-2" top="2.1259842519685042" bottom="0.74803149606299213" header="0.31496062992125984" footer="0.31496062992125984"/>
  <pageSetup paperSize="9" orientation="portrait" r:id="rId1"/>
  <headerFooter scaleWithDoc="0">
    <oddHeader>&amp;C&amp;G</oddHead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1"/>
  <sheetViews>
    <sheetView workbookViewId="0">
      <selection activeCell="B12" sqref="B12"/>
    </sheetView>
  </sheetViews>
  <sheetFormatPr defaultColWidth="8.85546875" defaultRowHeight="12.75" x14ac:dyDescent="0.2"/>
  <cols>
    <col min="1" max="1" width="58.140625" customWidth="1"/>
    <col min="2" max="2" width="10.140625" style="2" bestFit="1" customWidth="1"/>
    <col min="3" max="3" width="10.85546875" bestFit="1" customWidth="1"/>
    <col min="4" max="4" width="10.140625" bestFit="1" customWidth="1"/>
  </cols>
  <sheetData>
    <row r="1" spans="1:4" ht="32.25" customHeight="1" x14ac:dyDescent="0.4">
      <c r="A1" s="276" t="s">
        <v>411</v>
      </c>
      <c r="B1" s="277"/>
      <c r="C1" s="278"/>
      <c r="D1" s="118"/>
    </row>
    <row r="2" spans="1:4" ht="32.25" customHeight="1" x14ac:dyDescent="0.4">
      <c r="A2" s="184"/>
      <c r="B2" s="188" t="s">
        <v>238</v>
      </c>
      <c r="C2" s="185"/>
      <c r="D2" s="118" t="s">
        <v>290</v>
      </c>
    </row>
    <row r="3" spans="1:4" ht="16.5" customHeight="1" x14ac:dyDescent="0.2">
      <c r="A3" s="190" t="s">
        <v>213</v>
      </c>
      <c r="B3" s="126">
        <v>290</v>
      </c>
      <c r="C3" s="14" t="s">
        <v>111</v>
      </c>
      <c r="D3" s="126">
        <v>500</v>
      </c>
    </row>
    <row r="4" spans="1:4" ht="21.75" customHeight="1" x14ac:dyDescent="0.2">
      <c r="A4" s="190" t="s">
        <v>407</v>
      </c>
      <c r="B4" s="14">
        <v>18</v>
      </c>
      <c r="C4" s="14"/>
      <c r="D4" s="126"/>
    </row>
    <row r="5" spans="1:4" ht="21.75" customHeight="1" x14ac:dyDescent="0.2">
      <c r="A5" s="190" t="s">
        <v>408</v>
      </c>
      <c r="B5" s="14">
        <v>25</v>
      </c>
      <c r="C5" s="14"/>
      <c r="D5" s="126"/>
    </row>
    <row r="6" spans="1:4" ht="21.75" customHeight="1" x14ac:dyDescent="0.2">
      <c r="A6" s="201" t="s">
        <v>426</v>
      </c>
      <c r="B6" s="126">
        <f>SUM(B3:B5)</f>
        <v>333</v>
      </c>
      <c r="C6" s="14"/>
      <c r="D6" s="126"/>
    </row>
    <row r="7" spans="1:4" ht="21.75" customHeight="1" x14ac:dyDescent="0.2">
      <c r="A7" s="68" t="s">
        <v>437</v>
      </c>
      <c r="B7" s="14">
        <f>B6*10%</f>
        <v>33.300000000000004</v>
      </c>
      <c r="C7" s="14"/>
      <c r="D7" s="126"/>
    </row>
    <row r="8" spans="1:4" ht="21.75" customHeight="1" x14ac:dyDescent="0.2">
      <c r="A8" s="10" t="s">
        <v>438</v>
      </c>
      <c r="B8" s="14">
        <f>B6*5%</f>
        <v>16.650000000000002</v>
      </c>
      <c r="C8" s="14"/>
      <c r="D8" s="126"/>
    </row>
    <row r="9" spans="1:4" ht="21.75" customHeight="1" x14ac:dyDescent="0.2">
      <c r="A9" s="135" t="s">
        <v>324</v>
      </c>
      <c r="B9" s="202">
        <f>SUM(B6:B8)</f>
        <v>382.95</v>
      </c>
      <c r="C9" s="203"/>
      <c r="D9" s="202"/>
    </row>
    <row r="10" spans="1:4" ht="21.75" customHeight="1" x14ac:dyDescent="0.2">
      <c r="A10" s="139" t="s">
        <v>276</v>
      </c>
      <c r="B10" s="203">
        <f>D3*10%</f>
        <v>50</v>
      </c>
      <c r="C10" s="203"/>
      <c r="D10" s="202"/>
    </row>
    <row r="11" spans="1:4" ht="21.75" customHeight="1" x14ac:dyDescent="0.2">
      <c r="A11" s="139" t="s">
        <v>428</v>
      </c>
      <c r="B11" s="202"/>
      <c r="C11" s="203"/>
      <c r="D11" s="202"/>
    </row>
    <row r="12" spans="1:4" ht="21.75" customHeight="1" x14ac:dyDescent="0.2">
      <c r="A12" s="135" t="s">
        <v>500</v>
      </c>
      <c r="B12" s="202">
        <f>B9+B10+B11</f>
        <v>432.95</v>
      </c>
      <c r="C12" s="203"/>
      <c r="D12" s="202"/>
    </row>
    <row r="13" spans="1:4" ht="21.75" customHeight="1" x14ac:dyDescent="0.2">
      <c r="A13" s="139" t="s">
        <v>499</v>
      </c>
      <c r="B13" s="203">
        <f>D3-B12</f>
        <v>67.050000000000011</v>
      </c>
      <c r="C13" s="203"/>
      <c r="D13" s="202"/>
    </row>
    <row r="14" spans="1:4" ht="9" customHeight="1" x14ac:dyDescent="0.2">
      <c r="A14" s="204"/>
      <c r="B14" s="202"/>
      <c r="C14" s="203"/>
      <c r="D14" s="202"/>
    </row>
    <row r="15" spans="1:4" ht="21.75" customHeight="1" thickBot="1" x14ac:dyDescent="0.25">
      <c r="A15" s="191" t="s">
        <v>441</v>
      </c>
      <c r="B15" s="189">
        <f>B12*130%</f>
        <v>562.83500000000004</v>
      </c>
      <c r="C15" s="189"/>
      <c r="D15" s="192"/>
    </row>
    <row r="16" spans="1:4" ht="21.75" customHeight="1" x14ac:dyDescent="0.2">
      <c r="A16" s="193" t="s">
        <v>214</v>
      </c>
      <c r="B16" s="195">
        <v>185</v>
      </c>
      <c r="C16" s="194" t="s">
        <v>111</v>
      </c>
      <c r="D16" s="195">
        <v>350</v>
      </c>
    </row>
    <row r="17" spans="1:4" ht="21.75" customHeight="1" x14ac:dyDescent="0.2">
      <c r="A17" s="190" t="s">
        <v>407</v>
      </c>
      <c r="B17" s="14">
        <v>18</v>
      </c>
      <c r="C17" s="14"/>
      <c r="D17" s="126"/>
    </row>
    <row r="18" spans="1:4" ht="21.75" customHeight="1" x14ac:dyDescent="0.2">
      <c r="A18" s="190" t="s">
        <v>408</v>
      </c>
      <c r="B18" s="14">
        <v>25</v>
      </c>
      <c r="C18" s="14"/>
      <c r="D18" s="126"/>
    </row>
    <row r="19" spans="1:4" ht="21.75" customHeight="1" x14ac:dyDescent="0.2">
      <c r="A19" s="201" t="s">
        <v>426</v>
      </c>
      <c r="B19" s="126">
        <f>SUM(B16:B18)</f>
        <v>228</v>
      </c>
      <c r="C19" s="14"/>
      <c r="D19" s="126"/>
    </row>
    <row r="20" spans="1:4" ht="21.75" customHeight="1" x14ac:dyDescent="0.2">
      <c r="A20" s="68" t="s">
        <v>437</v>
      </c>
      <c r="B20" s="14">
        <f>B19*10%</f>
        <v>22.8</v>
      </c>
      <c r="C20" s="14"/>
      <c r="D20" s="126"/>
    </row>
    <row r="21" spans="1:4" ht="21.75" customHeight="1" x14ac:dyDescent="0.2">
      <c r="A21" s="10" t="s">
        <v>438</v>
      </c>
      <c r="B21" s="14">
        <f>B19*5%</f>
        <v>11.4</v>
      </c>
      <c r="C21" s="14"/>
      <c r="D21" s="126"/>
    </row>
    <row r="22" spans="1:4" ht="21.75" customHeight="1" x14ac:dyDescent="0.2">
      <c r="A22" s="135" t="s">
        <v>324</v>
      </c>
      <c r="B22" s="202">
        <f>SUM(B19:B21)</f>
        <v>262.2</v>
      </c>
      <c r="C22" s="203"/>
      <c r="D22" s="202"/>
    </row>
    <row r="23" spans="1:4" ht="21.75" customHeight="1" x14ac:dyDescent="0.2">
      <c r="A23" s="139" t="s">
        <v>276</v>
      </c>
      <c r="B23" s="203">
        <f>D16*10%</f>
        <v>35</v>
      </c>
      <c r="C23" s="203"/>
      <c r="D23" s="202"/>
    </row>
    <row r="24" spans="1:4" ht="21.75" customHeight="1" x14ac:dyDescent="0.2">
      <c r="A24" s="139" t="s">
        <v>428</v>
      </c>
      <c r="B24" s="202"/>
      <c r="C24" s="203"/>
      <c r="D24" s="202"/>
    </row>
    <row r="25" spans="1:4" ht="21.75" customHeight="1" x14ac:dyDescent="0.2">
      <c r="A25" s="135" t="s">
        <v>500</v>
      </c>
      <c r="B25" s="202">
        <f>B22+B23+B24</f>
        <v>297.2</v>
      </c>
      <c r="C25" s="203"/>
      <c r="D25" s="202"/>
    </row>
    <row r="26" spans="1:4" ht="21.75" customHeight="1" x14ac:dyDescent="0.2">
      <c r="A26" s="139" t="s">
        <v>499</v>
      </c>
      <c r="B26" s="203">
        <f>D16-B25</f>
        <v>52.800000000000011</v>
      </c>
      <c r="C26" s="203"/>
      <c r="D26" s="202"/>
    </row>
    <row r="27" spans="1:4" ht="9" customHeight="1" x14ac:dyDescent="0.2">
      <c r="A27" s="204"/>
      <c r="B27" s="202"/>
      <c r="C27" s="203"/>
      <c r="D27" s="202"/>
    </row>
    <row r="28" spans="1:4" ht="21.75" customHeight="1" thickBot="1" x14ac:dyDescent="0.25">
      <c r="A28" s="191" t="s">
        <v>441</v>
      </c>
      <c r="B28" s="189">
        <f>B25*130%</f>
        <v>386.36</v>
      </c>
      <c r="C28" s="189"/>
      <c r="D28" s="192"/>
    </row>
    <row r="29" spans="1:4" ht="19.5" customHeight="1" x14ac:dyDescent="0.2">
      <c r="A29" s="190" t="s">
        <v>272</v>
      </c>
      <c r="B29" s="126">
        <v>65</v>
      </c>
      <c r="C29" s="10" t="s">
        <v>111</v>
      </c>
      <c r="D29" s="195">
        <v>180</v>
      </c>
    </row>
    <row r="30" spans="1:4" ht="19.5" customHeight="1" x14ac:dyDescent="0.2">
      <c r="A30" s="190" t="s">
        <v>407</v>
      </c>
      <c r="B30" s="14">
        <v>18</v>
      </c>
      <c r="C30" s="14"/>
      <c r="D30" s="195"/>
    </row>
    <row r="31" spans="1:4" ht="19.5" customHeight="1" x14ac:dyDescent="0.2">
      <c r="A31" s="190" t="s">
        <v>408</v>
      </c>
      <c r="B31" s="14">
        <v>25</v>
      </c>
      <c r="C31" s="14"/>
      <c r="D31" s="195"/>
    </row>
    <row r="32" spans="1:4" ht="19.5" customHeight="1" x14ac:dyDescent="0.2">
      <c r="A32" s="201" t="s">
        <v>426</v>
      </c>
      <c r="B32" s="126">
        <f>SUM(B29:B31)</f>
        <v>108</v>
      </c>
      <c r="C32" s="14"/>
      <c r="D32" s="195"/>
    </row>
    <row r="33" spans="1:4" ht="19.5" customHeight="1" x14ac:dyDescent="0.2">
      <c r="A33" s="68" t="s">
        <v>437</v>
      </c>
      <c r="B33" s="14">
        <f>B32*10%</f>
        <v>10.8</v>
      </c>
      <c r="C33" s="14"/>
      <c r="D33" s="195"/>
    </row>
    <row r="34" spans="1:4" ht="19.5" customHeight="1" x14ac:dyDescent="0.2">
      <c r="A34" s="10" t="s">
        <v>438</v>
      </c>
      <c r="B34" s="14">
        <f>B32*5%</f>
        <v>5.4</v>
      </c>
      <c r="C34" s="14"/>
      <c r="D34" s="195"/>
    </row>
    <row r="35" spans="1:4" ht="19.5" customHeight="1" x14ac:dyDescent="0.2">
      <c r="A35" s="135" t="s">
        <v>324</v>
      </c>
      <c r="B35" s="202">
        <f>SUM(B32:B34)</f>
        <v>124.2</v>
      </c>
      <c r="C35" s="203"/>
      <c r="D35" s="195"/>
    </row>
    <row r="36" spans="1:4" ht="19.5" customHeight="1" x14ac:dyDescent="0.2">
      <c r="A36" s="139" t="s">
        <v>276</v>
      </c>
      <c r="B36" s="203">
        <f>D29*10%</f>
        <v>18</v>
      </c>
      <c r="C36" s="203"/>
      <c r="D36" s="195"/>
    </row>
    <row r="37" spans="1:4" ht="19.5" customHeight="1" x14ac:dyDescent="0.2">
      <c r="A37" s="139" t="s">
        <v>428</v>
      </c>
      <c r="B37" s="202"/>
      <c r="C37" s="203"/>
      <c r="D37" s="195"/>
    </row>
    <row r="38" spans="1:4" ht="19.5" customHeight="1" x14ac:dyDescent="0.2">
      <c r="A38" s="135" t="s">
        <v>500</v>
      </c>
      <c r="B38" s="202">
        <f>B35+B36+B37</f>
        <v>142.19999999999999</v>
      </c>
      <c r="C38" s="203"/>
      <c r="D38" s="195"/>
    </row>
    <row r="39" spans="1:4" ht="19.5" customHeight="1" x14ac:dyDescent="0.2">
      <c r="A39" s="139" t="s">
        <v>499</v>
      </c>
      <c r="B39" s="203">
        <f>D29-B38</f>
        <v>37.800000000000011</v>
      </c>
      <c r="C39" s="203"/>
      <c r="D39" s="195"/>
    </row>
    <row r="40" spans="1:4" ht="9" customHeight="1" x14ac:dyDescent="0.2">
      <c r="A40" s="204"/>
      <c r="B40" s="202"/>
      <c r="C40" s="203"/>
      <c r="D40" s="195"/>
    </row>
    <row r="41" spans="1:4" ht="19.5" customHeight="1" thickBot="1" x14ac:dyDescent="0.25">
      <c r="A41" s="191" t="s">
        <v>441</v>
      </c>
      <c r="B41" s="189">
        <f>B38*130%</f>
        <v>184.85999999999999</v>
      </c>
      <c r="C41" s="189"/>
      <c r="D41" s="192"/>
    </row>
    <row r="42" spans="1:4" ht="19.5" customHeight="1" x14ac:dyDescent="0.2">
      <c r="A42" s="190" t="s">
        <v>271</v>
      </c>
      <c r="B42" s="126">
        <v>120</v>
      </c>
      <c r="C42" s="10" t="s">
        <v>111</v>
      </c>
      <c r="D42" s="195">
        <v>250</v>
      </c>
    </row>
    <row r="43" spans="1:4" ht="19.5" customHeight="1" x14ac:dyDescent="0.2">
      <c r="A43" s="190" t="s">
        <v>407</v>
      </c>
      <c r="B43" s="14">
        <v>18</v>
      </c>
      <c r="C43" s="14"/>
      <c r="D43" s="195"/>
    </row>
    <row r="44" spans="1:4" ht="19.5" customHeight="1" x14ac:dyDescent="0.2">
      <c r="A44" s="190" t="s">
        <v>408</v>
      </c>
      <c r="B44" s="14">
        <v>25</v>
      </c>
      <c r="C44" s="14"/>
      <c r="D44" s="195"/>
    </row>
    <row r="45" spans="1:4" ht="19.5" customHeight="1" x14ac:dyDescent="0.2">
      <c r="A45" s="201" t="s">
        <v>426</v>
      </c>
      <c r="B45" s="126">
        <f>SUM(B42:B44)</f>
        <v>163</v>
      </c>
      <c r="C45" s="14"/>
      <c r="D45" s="195"/>
    </row>
    <row r="46" spans="1:4" ht="19.5" customHeight="1" x14ac:dyDescent="0.2">
      <c r="A46" s="68" t="s">
        <v>437</v>
      </c>
      <c r="B46" s="14">
        <f>B45*10%</f>
        <v>16.3</v>
      </c>
      <c r="C46" s="14"/>
      <c r="D46" s="195"/>
    </row>
    <row r="47" spans="1:4" ht="19.5" customHeight="1" x14ac:dyDescent="0.2">
      <c r="A47" s="10" t="s">
        <v>438</v>
      </c>
      <c r="B47" s="14">
        <f>B45*5%</f>
        <v>8.15</v>
      </c>
      <c r="C47" s="14"/>
      <c r="D47" s="195"/>
    </row>
    <row r="48" spans="1:4" ht="19.5" customHeight="1" x14ac:dyDescent="0.2">
      <c r="A48" s="135" t="s">
        <v>324</v>
      </c>
      <c r="B48" s="202">
        <f>SUM(B45:B47)</f>
        <v>187.45000000000002</v>
      </c>
      <c r="C48" s="203"/>
      <c r="D48" s="195"/>
    </row>
    <row r="49" spans="1:5" ht="19.5" customHeight="1" x14ac:dyDescent="0.2">
      <c r="A49" s="139" t="s">
        <v>276</v>
      </c>
      <c r="B49" s="203">
        <f>D42*10%</f>
        <v>25</v>
      </c>
      <c r="C49" s="203"/>
      <c r="D49" s="195"/>
    </row>
    <row r="50" spans="1:5" ht="19.5" customHeight="1" x14ac:dyDescent="0.2">
      <c r="A50" s="139" t="s">
        <v>428</v>
      </c>
      <c r="B50" s="202"/>
      <c r="C50" s="203"/>
      <c r="D50" s="195"/>
    </row>
    <row r="51" spans="1:5" ht="19.5" customHeight="1" x14ac:dyDescent="0.2">
      <c r="A51" s="135" t="s">
        <v>500</v>
      </c>
      <c r="B51" s="202">
        <f>B48+B49+B50</f>
        <v>212.45000000000002</v>
      </c>
      <c r="C51" s="203"/>
      <c r="D51" s="195"/>
    </row>
    <row r="52" spans="1:5" ht="19.5" customHeight="1" x14ac:dyDescent="0.2">
      <c r="A52" s="139" t="s">
        <v>499</v>
      </c>
      <c r="B52" s="203">
        <f>D42-B51</f>
        <v>37.549999999999983</v>
      </c>
      <c r="C52" s="203"/>
      <c r="D52" s="195"/>
    </row>
    <row r="53" spans="1:5" ht="9" customHeight="1" x14ac:dyDescent="0.2">
      <c r="A53" s="204"/>
      <c r="B53" s="202"/>
      <c r="C53" s="203"/>
      <c r="D53" s="195"/>
    </row>
    <row r="54" spans="1:5" ht="19.5" customHeight="1" thickBot="1" x14ac:dyDescent="0.25">
      <c r="A54" s="191" t="s">
        <v>441</v>
      </c>
      <c r="B54" s="189">
        <f>B51*130%</f>
        <v>276.18500000000006</v>
      </c>
      <c r="C54" s="189"/>
      <c r="D54" s="192"/>
    </row>
    <row r="55" spans="1:5" ht="19.5" customHeight="1" x14ac:dyDescent="0.2">
      <c r="A55" s="176" t="s">
        <v>273</v>
      </c>
      <c r="B55" s="126">
        <v>300</v>
      </c>
      <c r="C55" s="10" t="s">
        <v>111</v>
      </c>
      <c r="D55" s="195">
        <v>550</v>
      </c>
      <c r="E55">
        <v>550</v>
      </c>
    </row>
    <row r="56" spans="1:5" ht="19.5" customHeight="1" x14ac:dyDescent="0.2">
      <c r="A56" s="190" t="s">
        <v>407</v>
      </c>
      <c r="B56" s="14">
        <v>18</v>
      </c>
      <c r="C56" s="14"/>
      <c r="D56" s="195"/>
    </row>
    <row r="57" spans="1:5" ht="19.5" customHeight="1" x14ac:dyDescent="0.2">
      <c r="A57" s="190" t="s">
        <v>408</v>
      </c>
      <c r="B57" s="14">
        <v>25</v>
      </c>
      <c r="C57" s="14"/>
      <c r="D57" s="195"/>
    </row>
    <row r="58" spans="1:5" ht="19.5" customHeight="1" x14ac:dyDescent="0.2">
      <c r="A58" s="201" t="s">
        <v>426</v>
      </c>
      <c r="B58" s="126">
        <f>SUM(B55:B57)</f>
        <v>343</v>
      </c>
      <c r="C58" s="14"/>
      <c r="D58" s="195"/>
    </row>
    <row r="59" spans="1:5" ht="19.5" customHeight="1" x14ac:dyDescent="0.2">
      <c r="A59" s="68" t="s">
        <v>437</v>
      </c>
      <c r="B59" s="14">
        <f>B58*10%</f>
        <v>34.300000000000004</v>
      </c>
      <c r="C59" s="14"/>
      <c r="D59" s="195"/>
    </row>
    <row r="60" spans="1:5" ht="19.5" customHeight="1" x14ac:dyDescent="0.2">
      <c r="A60" s="10" t="s">
        <v>438</v>
      </c>
      <c r="B60" s="14">
        <f>B58*5%</f>
        <v>17.150000000000002</v>
      </c>
      <c r="C60" s="14"/>
      <c r="D60" s="195"/>
    </row>
    <row r="61" spans="1:5" ht="19.5" customHeight="1" x14ac:dyDescent="0.2">
      <c r="A61" s="135" t="s">
        <v>324</v>
      </c>
      <c r="B61" s="202">
        <f>SUM(B58:B60)</f>
        <v>394.45</v>
      </c>
      <c r="C61" s="203"/>
      <c r="D61" s="195"/>
    </row>
    <row r="62" spans="1:5" ht="19.5" customHeight="1" x14ac:dyDescent="0.2">
      <c r="A62" s="139" t="s">
        <v>276</v>
      </c>
      <c r="B62" s="203">
        <f>D55*10%</f>
        <v>55</v>
      </c>
      <c r="C62" s="203"/>
      <c r="D62" s="195"/>
    </row>
    <row r="63" spans="1:5" ht="19.5" customHeight="1" x14ac:dyDescent="0.2">
      <c r="A63" s="139" t="s">
        <v>428</v>
      </c>
      <c r="B63" s="202"/>
      <c r="C63" s="203"/>
      <c r="D63" s="195"/>
    </row>
    <row r="64" spans="1:5" ht="19.5" customHeight="1" x14ac:dyDescent="0.2">
      <c r="A64" s="135" t="s">
        <v>500</v>
      </c>
      <c r="B64" s="202">
        <f>B61+B62+B63</f>
        <v>449.45</v>
      </c>
      <c r="C64" s="203"/>
      <c r="D64" s="195"/>
    </row>
    <row r="65" spans="1:4" ht="19.5" customHeight="1" x14ac:dyDescent="0.2">
      <c r="A65" s="139" t="s">
        <v>499</v>
      </c>
      <c r="B65" s="203">
        <f>D55-B64</f>
        <v>100.55000000000001</v>
      </c>
      <c r="C65" s="203"/>
      <c r="D65" s="195"/>
    </row>
    <row r="66" spans="1:4" ht="9" customHeight="1" x14ac:dyDescent="0.2">
      <c r="A66" s="204"/>
      <c r="B66" s="202"/>
      <c r="C66" s="203"/>
      <c r="D66" s="195"/>
    </row>
    <row r="67" spans="1:4" ht="19.5" customHeight="1" thickBot="1" x14ac:dyDescent="0.25">
      <c r="A67" s="191" t="s">
        <v>441</v>
      </c>
      <c r="B67" s="189">
        <f>B64*130%</f>
        <v>584.28499999999997</v>
      </c>
      <c r="C67" s="189"/>
      <c r="D67" s="192"/>
    </row>
    <row r="68" spans="1:4" ht="21" customHeight="1" x14ac:dyDescent="0.2">
      <c r="A68" s="196" t="s">
        <v>197</v>
      </c>
      <c r="B68" s="133">
        <v>320</v>
      </c>
      <c r="C68" s="10" t="s">
        <v>111</v>
      </c>
      <c r="D68" s="195">
        <v>550</v>
      </c>
    </row>
    <row r="69" spans="1:4" ht="21" customHeight="1" x14ac:dyDescent="0.2">
      <c r="A69" s="190" t="s">
        <v>407</v>
      </c>
      <c r="B69" s="14">
        <v>18</v>
      </c>
      <c r="C69" s="14"/>
      <c r="D69" s="195"/>
    </row>
    <row r="70" spans="1:4" ht="21" customHeight="1" x14ac:dyDescent="0.2">
      <c r="A70" s="190" t="s">
        <v>408</v>
      </c>
      <c r="B70" s="14">
        <v>25</v>
      </c>
      <c r="C70" s="14"/>
      <c r="D70" s="195"/>
    </row>
    <row r="71" spans="1:4" ht="21" customHeight="1" x14ac:dyDescent="0.2">
      <c r="A71" s="201" t="s">
        <v>426</v>
      </c>
      <c r="B71" s="126">
        <f>SUM(B68:B70)</f>
        <v>363</v>
      </c>
      <c r="C71" s="14"/>
      <c r="D71" s="195"/>
    </row>
    <row r="72" spans="1:4" ht="21" customHeight="1" x14ac:dyDescent="0.2">
      <c r="A72" s="68" t="s">
        <v>437</v>
      </c>
      <c r="B72" s="14">
        <f>B71*10%</f>
        <v>36.300000000000004</v>
      </c>
      <c r="C72" s="14"/>
      <c r="D72" s="195"/>
    </row>
    <row r="73" spans="1:4" ht="21" customHeight="1" x14ac:dyDescent="0.2">
      <c r="A73" s="10" t="s">
        <v>438</v>
      </c>
      <c r="B73" s="14">
        <f>B71*5%</f>
        <v>18.150000000000002</v>
      </c>
      <c r="C73" s="14"/>
      <c r="D73" s="195"/>
    </row>
    <row r="74" spans="1:4" ht="21" customHeight="1" x14ac:dyDescent="0.2">
      <c r="A74" s="135" t="s">
        <v>324</v>
      </c>
      <c r="B74" s="202">
        <f>SUM(B71:B73)</f>
        <v>417.45</v>
      </c>
      <c r="C74" s="203"/>
      <c r="D74" s="195"/>
    </row>
    <row r="75" spans="1:4" ht="21" customHeight="1" x14ac:dyDescent="0.2">
      <c r="A75" s="139" t="s">
        <v>276</v>
      </c>
      <c r="B75" s="203">
        <f>D68*10%</f>
        <v>55</v>
      </c>
      <c r="C75" s="203"/>
      <c r="D75" s="195"/>
    </row>
    <row r="76" spans="1:4" ht="21" customHeight="1" x14ac:dyDescent="0.2">
      <c r="A76" s="139" t="s">
        <v>428</v>
      </c>
      <c r="B76" s="202"/>
      <c r="C76" s="203"/>
      <c r="D76" s="195"/>
    </row>
    <row r="77" spans="1:4" ht="21" customHeight="1" x14ac:dyDescent="0.2">
      <c r="A77" s="135" t="s">
        <v>500</v>
      </c>
      <c r="B77" s="202">
        <f>B74+B75+B76</f>
        <v>472.45</v>
      </c>
      <c r="C77" s="203"/>
      <c r="D77" s="195"/>
    </row>
    <row r="78" spans="1:4" ht="21" customHeight="1" x14ac:dyDescent="0.2">
      <c r="A78" s="139" t="s">
        <v>499</v>
      </c>
      <c r="B78" s="203">
        <f>D68-B77</f>
        <v>77.550000000000011</v>
      </c>
      <c r="C78" s="203"/>
      <c r="D78" s="195"/>
    </row>
    <row r="79" spans="1:4" ht="9" customHeight="1" x14ac:dyDescent="0.2">
      <c r="A79" s="204"/>
      <c r="B79" s="202"/>
      <c r="C79" s="203"/>
      <c r="D79" s="195"/>
    </row>
    <row r="80" spans="1:4" ht="21" customHeight="1" thickBot="1" x14ac:dyDescent="0.25">
      <c r="A80" s="191" t="s">
        <v>441</v>
      </c>
      <c r="B80" s="189">
        <f>B77*130%</f>
        <v>614.18500000000006</v>
      </c>
      <c r="C80" s="189"/>
      <c r="D80" s="192"/>
    </row>
    <row r="81" spans="1:4" ht="21" customHeight="1" x14ac:dyDescent="0.2">
      <c r="A81" s="196" t="s">
        <v>268</v>
      </c>
      <c r="B81" s="133">
        <v>120</v>
      </c>
      <c r="C81" s="10" t="s">
        <v>111</v>
      </c>
      <c r="D81" s="195">
        <v>350</v>
      </c>
    </row>
    <row r="82" spans="1:4" ht="21" customHeight="1" x14ac:dyDescent="0.2">
      <c r="A82" s="190" t="s">
        <v>407</v>
      </c>
      <c r="B82" s="14">
        <v>18</v>
      </c>
      <c r="C82" s="14"/>
      <c r="D82" s="195"/>
    </row>
    <row r="83" spans="1:4" ht="21" customHeight="1" x14ac:dyDescent="0.2">
      <c r="A83" s="190" t="s">
        <v>408</v>
      </c>
      <c r="B83" s="14">
        <v>25</v>
      </c>
      <c r="C83" s="14"/>
      <c r="D83" s="195"/>
    </row>
    <row r="84" spans="1:4" ht="21" customHeight="1" x14ac:dyDescent="0.2">
      <c r="A84" s="201" t="s">
        <v>426</v>
      </c>
      <c r="B84" s="126">
        <f>SUM(B81:B83)</f>
        <v>163</v>
      </c>
      <c r="C84" s="14"/>
      <c r="D84" s="195"/>
    </row>
    <row r="85" spans="1:4" ht="21" customHeight="1" x14ac:dyDescent="0.2">
      <c r="A85" s="68" t="s">
        <v>437</v>
      </c>
      <c r="B85" s="14">
        <f>B84*10%</f>
        <v>16.3</v>
      </c>
      <c r="C85" s="14"/>
      <c r="D85" s="195"/>
    </row>
    <row r="86" spans="1:4" ht="21" customHeight="1" x14ac:dyDescent="0.2">
      <c r="A86" s="10" t="s">
        <v>438</v>
      </c>
      <c r="B86" s="14">
        <f>B84*5%</f>
        <v>8.15</v>
      </c>
      <c r="C86" s="14"/>
      <c r="D86" s="195"/>
    </row>
    <row r="87" spans="1:4" ht="21" customHeight="1" x14ac:dyDescent="0.2">
      <c r="A87" s="135" t="s">
        <v>324</v>
      </c>
      <c r="B87" s="202">
        <f>SUM(B84:B86)</f>
        <v>187.45000000000002</v>
      </c>
      <c r="C87" s="203"/>
      <c r="D87" s="195"/>
    </row>
    <row r="88" spans="1:4" ht="21" customHeight="1" x14ac:dyDescent="0.2">
      <c r="A88" s="139" t="s">
        <v>276</v>
      </c>
      <c r="B88" s="203">
        <f>D81*10%</f>
        <v>35</v>
      </c>
      <c r="C88" s="203"/>
      <c r="D88" s="195"/>
    </row>
    <row r="89" spans="1:4" ht="21" customHeight="1" x14ac:dyDescent="0.2">
      <c r="A89" s="139" t="s">
        <v>428</v>
      </c>
      <c r="B89" s="202"/>
      <c r="C89" s="203"/>
      <c r="D89" s="195"/>
    </row>
    <row r="90" spans="1:4" ht="21" customHeight="1" x14ac:dyDescent="0.2">
      <c r="A90" s="135" t="s">
        <v>500</v>
      </c>
      <c r="B90" s="202">
        <f>B87+B88+B89</f>
        <v>222.45000000000002</v>
      </c>
      <c r="C90" s="203"/>
      <c r="D90" s="195"/>
    </row>
    <row r="91" spans="1:4" ht="21" customHeight="1" x14ac:dyDescent="0.2">
      <c r="A91" s="139" t="s">
        <v>499</v>
      </c>
      <c r="B91" s="203">
        <f>D81-B90</f>
        <v>127.54999999999998</v>
      </c>
      <c r="C91" s="203"/>
      <c r="D91" s="195"/>
    </row>
    <row r="92" spans="1:4" ht="9" customHeight="1" x14ac:dyDescent="0.2">
      <c r="A92" s="204"/>
      <c r="B92" s="202"/>
      <c r="C92" s="203"/>
      <c r="D92" s="195"/>
    </row>
    <row r="93" spans="1:4" ht="21" customHeight="1" thickBot="1" x14ac:dyDescent="0.25">
      <c r="A93" s="191" t="s">
        <v>441</v>
      </c>
      <c r="B93" s="189">
        <f>B90*130%</f>
        <v>289.18500000000006</v>
      </c>
      <c r="C93" s="189"/>
      <c r="D93" s="192"/>
    </row>
    <row r="94" spans="1:4" ht="21" customHeight="1" x14ac:dyDescent="0.2">
      <c r="A94" s="196" t="s">
        <v>269</v>
      </c>
      <c r="B94" s="133">
        <v>290</v>
      </c>
      <c r="C94" s="10" t="s">
        <v>111</v>
      </c>
      <c r="D94" s="195">
        <v>500</v>
      </c>
    </row>
    <row r="95" spans="1:4" ht="21" customHeight="1" x14ac:dyDescent="0.2">
      <c r="A95" s="190" t="s">
        <v>407</v>
      </c>
      <c r="B95" s="14">
        <v>18</v>
      </c>
      <c r="C95" s="14"/>
      <c r="D95" s="195"/>
    </row>
    <row r="96" spans="1:4" ht="21" customHeight="1" x14ac:dyDescent="0.2">
      <c r="A96" s="190" t="s">
        <v>408</v>
      </c>
      <c r="B96" s="14">
        <v>25</v>
      </c>
      <c r="C96" s="14"/>
      <c r="D96" s="195"/>
    </row>
    <row r="97" spans="1:4" ht="21" customHeight="1" x14ac:dyDescent="0.2">
      <c r="A97" s="201" t="s">
        <v>426</v>
      </c>
      <c r="B97" s="126">
        <f>SUM(B94:B96)</f>
        <v>333</v>
      </c>
      <c r="C97" s="14"/>
      <c r="D97" s="195"/>
    </row>
    <row r="98" spans="1:4" ht="21" customHeight="1" x14ac:dyDescent="0.2">
      <c r="A98" s="68" t="s">
        <v>437</v>
      </c>
      <c r="B98" s="14">
        <f>B97*10%</f>
        <v>33.300000000000004</v>
      </c>
      <c r="C98" s="14"/>
      <c r="D98" s="195"/>
    </row>
    <row r="99" spans="1:4" ht="21" customHeight="1" x14ac:dyDescent="0.2">
      <c r="A99" s="10" t="s">
        <v>438</v>
      </c>
      <c r="B99" s="14">
        <f>B97*5%</f>
        <v>16.650000000000002</v>
      </c>
      <c r="C99" s="14"/>
      <c r="D99" s="195"/>
    </row>
    <row r="100" spans="1:4" ht="21" customHeight="1" x14ac:dyDescent="0.2">
      <c r="A100" s="135" t="s">
        <v>324</v>
      </c>
      <c r="B100" s="202">
        <f>SUM(B97:B99)</f>
        <v>382.95</v>
      </c>
      <c r="C100" s="203"/>
      <c r="D100" s="195"/>
    </row>
    <row r="101" spans="1:4" ht="21" customHeight="1" x14ac:dyDescent="0.2">
      <c r="A101" s="139" t="s">
        <v>276</v>
      </c>
      <c r="B101" s="203">
        <f>D94*10%</f>
        <v>50</v>
      </c>
      <c r="C101" s="203"/>
      <c r="D101" s="195"/>
    </row>
    <row r="102" spans="1:4" ht="21" customHeight="1" x14ac:dyDescent="0.2">
      <c r="A102" s="139" t="s">
        <v>428</v>
      </c>
      <c r="B102" s="202"/>
      <c r="C102" s="203"/>
      <c r="D102" s="195"/>
    </row>
    <row r="103" spans="1:4" ht="21" customHeight="1" x14ac:dyDescent="0.2">
      <c r="A103" s="135" t="s">
        <v>500</v>
      </c>
      <c r="B103" s="202">
        <f>B100+B101+B102</f>
        <v>432.95</v>
      </c>
      <c r="C103" s="203"/>
      <c r="D103" s="195"/>
    </row>
    <row r="104" spans="1:4" ht="21" customHeight="1" x14ac:dyDescent="0.2">
      <c r="A104" s="139" t="s">
        <v>499</v>
      </c>
      <c r="B104" s="203">
        <f>D94-B103</f>
        <v>67.050000000000011</v>
      </c>
      <c r="C104" s="203"/>
      <c r="D104" s="195"/>
    </row>
    <row r="105" spans="1:4" ht="9" customHeight="1" x14ac:dyDescent="0.2">
      <c r="A105" s="204"/>
      <c r="B105" s="202"/>
      <c r="C105" s="203"/>
      <c r="D105" s="195"/>
    </row>
    <row r="106" spans="1:4" ht="21" customHeight="1" thickBot="1" x14ac:dyDescent="0.25">
      <c r="A106" s="191" t="s">
        <v>441</v>
      </c>
      <c r="B106" s="189">
        <f>B103*130%</f>
        <v>562.83500000000004</v>
      </c>
      <c r="C106" s="189"/>
      <c r="D106" s="192"/>
    </row>
    <row r="107" spans="1:4" ht="20.25" customHeight="1" x14ac:dyDescent="0.2">
      <c r="A107" s="196" t="s">
        <v>236</v>
      </c>
      <c r="B107" s="133">
        <v>90</v>
      </c>
      <c r="C107" s="10" t="s">
        <v>111</v>
      </c>
      <c r="D107" s="195">
        <v>180</v>
      </c>
    </row>
    <row r="108" spans="1:4" ht="20.25" customHeight="1" x14ac:dyDescent="0.2">
      <c r="A108" s="196" t="s">
        <v>407</v>
      </c>
      <c r="B108" s="133">
        <v>0</v>
      </c>
      <c r="C108" s="10"/>
      <c r="D108" s="195"/>
    </row>
    <row r="109" spans="1:4" ht="20.25" customHeight="1" x14ac:dyDescent="0.2">
      <c r="A109" s="190" t="s">
        <v>408</v>
      </c>
      <c r="B109" s="14">
        <v>25</v>
      </c>
      <c r="C109" s="14"/>
      <c r="D109" s="195"/>
    </row>
    <row r="110" spans="1:4" ht="20.25" customHeight="1" x14ac:dyDescent="0.2">
      <c r="A110" s="201" t="s">
        <v>426</v>
      </c>
      <c r="B110" s="126">
        <f>SUM(B107:B109)</f>
        <v>115</v>
      </c>
      <c r="C110" s="14"/>
      <c r="D110" s="195"/>
    </row>
    <row r="111" spans="1:4" ht="20.25" customHeight="1" x14ac:dyDescent="0.2">
      <c r="A111" s="68" t="s">
        <v>437</v>
      </c>
      <c r="B111" s="14">
        <f>B110*10%</f>
        <v>11.5</v>
      </c>
      <c r="C111" s="14"/>
      <c r="D111" s="195"/>
    </row>
    <row r="112" spans="1:4" ht="20.25" customHeight="1" x14ac:dyDescent="0.2">
      <c r="A112" s="10" t="s">
        <v>438</v>
      </c>
      <c r="B112" s="14">
        <f>B110*5%</f>
        <v>5.75</v>
      </c>
      <c r="C112" s="14"/>
      <c r="D112" s="195"/>
    </row>
    <row r="113" spans="1:4" ht="20.25" customHeight="1" x14ac:dyDescent="0.2">
      <c r="A113" s="135" t="s">
        <v>324</v>
      </c>
      <c r="B113" s="202">
        <f>SUM(B110:B112)</f>
        <v>132.25</v>
      </c>
      <c r="C113" s="203"/>
      <c r="D113" s="195"/>
    </row>
    <row r="114" spans="1:4" ht="20.25" customHeight="1" x14ac:dyDescent="0.2">
      <c r="A114" s="139" t="s">
        <v>276</v>
      </c>
      <c r="B114" s="203">
        <f>D107*10%</f>
        <v>18</v>
      </c>
      <c r="C114" s="203"/>
      <c r="D114" s="195"/>
    </row>
    <row r="115" spans="1:4" ht="20.25" customHeight="1" x14ac:dyDescent="0.2">
      <c r="A115" s="139" t="s">
        <v>428</v>
      </c>
      <c r="B115" s="202"/>
      <c r="C115" s="203"/>
      <c r="D115" s="195"/>
    </row>
    <row r="116" spans="1:4" ht="20.25" customHeight="1" x14ac:dyDescent="0.2">
      <c r="A116" s="135" t="s">
        <v>500</v>
      </c>
      <c r="B116" s="202">
        <f>B113+B114+B115</f>
        <v>150.25</v>
      </c>
      <c r="C116" s="203"/>
      <c r="D116" s="195"/>
    </row>
    <row r="117" spans="1:4" ht="20.25" customHeight="1" x14ac:dyDescent="0.2">
      <c r="A117" s="139" t="s">
        <v>499</v>
      </c>
      <c r="B117" s="203">
        <f>D107-B116</f>
        <v>29.75</v>
      </c>
      <c r="C117" s="203"/>
      <c r="D117" s="195"/>
    </row>
    <row r="118" spans="1:4" ht="9" customHeight="1" x14ac:dyDescent="0.2">
      <c r="A118" s="204"/>
      <c r="B118" s="202"/>
      <c r="C118" s="203"/>
      <c r="D118" s="195"/>
    </row>
    <row r="119" spans="1:4" ht="20.25" customHeight="1" thickBot="1" x14ac:dyDescent="0.25">
      <c r="A119" s="191" t="s">
        <v>441</v>
      </c>
      <c r="B119" s="189">
        <f>B116*130%</f>
        <v>195.32500000000002</v>
      </c>
      <c r="C119" s="189"/>
      <c r="D119" s="192"/>
    </row>
    <row r="120" spans="1:4" ht="20.25" customHeight="1" x14ac:dyDescent="0.2">
      <c r="A120" s="196" t="s">
        <v>237</v>
      </c>
      <c r="B120" s="133">
        <v>37</v>
      </c>
      <c r="C120" s="117" t="s">
        <v>111</v>
      </c>
      <c r="D120" s="195">
        <v>90</v>
      </c>
    </row>
    <row r="121" spans="1:4" ht="20.25" customHeight="1" x14ac:dyDescent="0.2">
      <c r="A121" s="196" t="s">
        <v>407</v>
      </c>
      <c r="B121" s="133">
        <v>0</v>
      </c>
      <c r="C121" s="10"/>
      <c r="D121" s="195"/>
    </row>
    <row r="122" spans="1:4" ht="20.25" customHeight="1" x14ac:dyDescent="0.2">
      <c r="A122" s="190" t="s">
        <v>408</v>
      </c>
      <c r="B122" s="14">
        <v>25</v>
      </c>
      <c r="C122" s="14"/>
      <c r="D122" s="195"/>
    </row>
    <row r="123" spans="1:4" ht="20.25" customHeight="1" x14ac:dyDescent="0.2">
      <c r="A123" s="201" t="s">
        <v>426</v>
      </c>
      <c r="B123" s="126">
        <f>SUM(B120:B122)</f>
        <v>62</v>
      </c>
      <c r="C123" s="14"/>
      <c r="D123" s="195"/>
    </row>
    <row r="124" spans="1:4" ht="20.25" customHeight="1" x14ac:dyDescent="0.2">
      <c r="A124" s="68" t="s">
        <v>437</v>
      </c>
      <c r="B124" s="14">
        <f>B123*10%</f>
        <v>6.2</v>
      </c>
      <c r="C124" s="14"/>
      <c r="D124" s="195"/>
    </row>
    <row r="125" spans="1:4" ht="20.25" customHeight="1" x14ac:dyDescent="0.2">
      <c r="A125" s="10" t="s">
        <v>438</v>
      </c>
      <c r="B125" s="14">
        <f>B123*5%</f>
        <v>3.1</v>
      </c>
      <c r="C125" s="14"/>
      <c r="D125" s="195"/>
    </row>
    <row r="126" spans="1:4" ht="20.25" customHeight="1" x14ac:dyDescent="0.2">
      <c r="A126" s="135" t="s">
        <v>324</v>
      </c>
      <c r="B126" s="202">
        <f>SUM(B123:B125)</f>
        <v>71.3</v>
      </c>
      <c r="C126" s="203"/>
      <c r="D126" s="195"/>
    </row>
    <row r="127" spans="1:4" ht="20.25" customHeight="1" x14ac:dyDescent="0.2">
      <c r="A127" s="139" t="s">
        <v>276</v>
      </c>
      <c r="B127" s="203">
        <f>D120*10%</f>
        <v>9</v>
      </c>
      <c r="C127" s="203"/>
      <c r="D127" s="195"/>
    </row>
    <row r="128" spans="1:4" ht="20.25" customHeight="1" x14ac:dyDescent="0.2">
      <c r="A128" s="139" t="s">
        <v>428</v>
      </c>
      <c r="B128" s="202"/>
      <c r="C128" s="203"/>
      <c r="D128" s="195"/>
    </row>
    <row r="129" spans="1:4" ht="20.25" customHeight="1" x14ac:dyDescent="0.2">
      <c r="A129" s="135" t="s">
        <v>500</v>
      </c>
      <c r="B129" s="202">
        <f>B126+B127+B128</f>
        <v>80.3</v>
      </c>
      <c r="C129" s="203"/>
      <c r="D129" s="195"/>
    </row>
    <row r="130" spans="1:4" ht="20.25" customHeight="1" x14ac:dyDescent="0.2">
      <c r="A130" s="139" t="s">
        <v>499</v>
      </c>
      <c r="B130" s="203">
        <f>D120-B129</f>
        <v>9.7000000000000028</v>
      </c>
      <c r="C130" s="203"/>
      <c r="D130" s="195"/>
    </row>
    <row r="131" spans="1:4" ht="9" customHeight="1" x14ac:dyDescent="0.2">
      <c r="A131" s="204"/>
      <c r="B131" s="202"/>
      <c r="C131" s="203"/>
      <c r="D131" s="195"/>
    </row>
    <row r="132" spans="1:4" ht="20.25" customHeight="1" thickBot="1" x14ac:dyDescent="0.25">
      <c r="A132" s="191" t="s">
        <v>441</v>
      </c>
      <c r="B132" s="189">
        <f>B129*130%</f>
        <v>104.39</v>
      </c>
      <c r="C132" s="189"/>
      <c r="D132" s="192"/>
    </row>
    <row r="133" spans="1:4" ht="20.25" customHeight="1" x14ac:dyDescent="0.2">
      <c r="A133" s="196" t="s">
        <v>270</v>
      </c>
      <c r="B133" s="133">
        <v>400</v>
      </c>
      <c r="C133" s="117" t="s">
        <v>111</v>
      </c>
      <c r="D133" s="195">
        <v>800</v>
      </c>
    </row>
    <row r="134" spans="1:4" ht="20.25" customHeight="1" x14ac:dyDescent="0.2">
      <c r="A134" s="196" t="s">
        <v>407</v>
      </c>
      <c r="B134" s="133">
        <v>18</v>
      </c>
      <c r="C134" s="10"/>
      <c r="D134" s="195"/>
    </row>
    <row r="135" spans="1:4" ht="20.25" customHeight="1" x14ac:dyDescent="0.2">
      <c r="A135" s="190" t="s">
        <v>408</v>
      </c>
      <c r="B135" s="14">
        <v>25</v>
      </c>
      <c r="C135" s="14"/>
      <c r="D135" s="195"/>
    </row>
    <row r="136" spans="1:4" ht="20.25" customHeight="1" x14ac:dyDescent="0.2">
      <c r="A136" s="201" t="s">
        <v>426</v>
      </c>
      <c r="B136" s="126">
        <f>SUM(B133:B135)</f>
        <v>443</v>
      </c>
      <c r="C136" s="14"/>
      <c r="D136" s="195"/>
    </row>
    <row r="137" spans="1:4" ht="20.25" customHeight="1" x14ac:dyDescent="0.2">
      <c r="A137" s="68" t="s">
        <v>437</v>
      </c>
      <c r="B137" s="14">
        <f>B136*10%</f>
        <v>44.300000000000004</v>
      </c>
      <c r="C137" s="14"/>
      <c r="D137" s="195"/>
    </row>
    <row r="138" spans="1:4" ht="20.25" customHeight="1" x14ac:dyDescent="0.2">
      <c r="A138" s="10" t="s">
        <v>438</v>
      </c>
      <c r="B138" s="14">
        <f>B136*5%</f>
        <v>22.150000000000002</v>
      </c>
      <c r="C138" s="14"/>
      <c r="D138" s="195"/>
    </row>
    <row r="139" spans="1:4" ht="20.25" customHeight="1" x14ac:dyDescent="0.2">
      <c r="A139" s="135" t="s">
        <v>324</v>
      </c>
      <c r="B139" s="202">
        <f>SUM(B136:B138)</f>
        <v>509.45</v>
      </c>
      <c r="C139" s="203"/>
      <c r="D139" s="195"/>
    </row>
    <row r="140" spans="1:4" ht="20.25" customHeight="1" x14ac:dyDescent="0.2">
      <c r="A140" s="139" t="s">
        <v>276</v>
      </c>
      <c r="B140" s="203">
        <f>D133*10%</f>
        <v>80</v>
      </c>
      <c r="C140" s="203"/>
      <c r="D140" s="195"/>
    </row>
    <row r="141" spans="1:4" ht="20.25" customHeight="1" x14ac:dyDescent="0.2">
      <c r="A141" s="139" t="s">
        <v>428</v>
      </c>
      <c r="B141" s="202"/>
      <c r="C141" s="203"/>
      <c r="D141" s="195"/>
    </row>
    <row r="142" spans="1:4" ht="20.25" customHeight="1" x14ac:dyDescent="0.2">
      <c r="A142" s="135" t="s">
        <v>500</v>
      </c>
      <c r="B142" s="202">
        <f>B139+B140+B141</f>
        <v>589.45000000000005</v>
      </c>
      <c r="C142" s="203"/>
      <c r="D142" s="195"/>
    </row>
    <row r="143" spans="1:4" ht="20.25" customHeight="1" x14ac:dyDescent="0.2">
      <c r="A143" s="139" t="s">
        <v>499</v>
      </c>
      <c r="B143" s="203">
        <f>D133-B142</f>
        <v>210.54999999999995</v>
      </c>
      <c r="C143" s="203"/>
      <c r="D143" s="195"/>
    </row>
    <row r="144" spans="1:4" ht="9" customHeight="1" x14ac:dyDescent="0.2">
      <c r="A144" s="204"/>
      <c r="B144" s="202"/>
      <c r="C144" s="203"/>
      <c r="D144" s="195"/>
    </row>
    <row r="145" spans="1:4" ht="20.25" customHeight="1" thickBot="1" x14ac:dyDescent="0.25">
      <c r="A145" s="191" t="s">
        <v>441</v>
      </c>
      <c r="B145" s="189">
        <f>B142*130%</f>
        <v>766.28500000000008</v>
      </c>
      <c r="C145" s="189"/>
      <c r="D145" s="192"/>
    </row>
    <row r="146" spans="1:4" s="70" customFormat="1" ht="21" customHeight="1" x14ac:dyDescent="0.2">
      <c r="A146" s="291" t="s">
        <v>215</v>
      </c>
      <c r="B146" s="292"/>
      <c r="C146" s="293"/>
      <c r="D146" s="194"/>
    </row>
    <row r="147" spans="1:4" x14ac:dyDescent="0.2">
      <c r="A147" s="69"/>
      <c r="B147" s="187"/>
      <c r="C147" s="69"/>
      <c r="D147" s="69"/>
    </row>
    <row r="148" spans="1:4" x14ac:dyDescent="0.2">
      <c r="A148" s="69"/>
      <c r="B148" s="187"/>
      <c r="C148" s="69"/>
      <c r="D148" s="69"/>
    </row>
    <row r="149" spans="1:4" x14ac:dyDescent="0.2">
      <c r="A149" s="69"/>
      <c r="B149" s="187"/>
      <c r="C149" s="69"/>
      <c r="D149" s="69"/>
    </row>
    <row r="150" spans="1:4" x14ac:dyDescent="0.2">
      <c r="A150" s="4"/>
      <c r="B150" s="5"/>
    </row>
    <row r="151" spans="1:4" x14ac:dyDescent="0.2">
      <c r="A151" s="4"/>
      <c r="B151" s="5"/>
    </row>
    <row r="152" spans="1:4" x14ac:dyDescent="0.2">
      <c r="A152" s="4"/>
      <c r="B152" s="5"/>
    </row>
    <row r="153" spans="1:4" x14ac:dyDescent="0.2">
      <c r="A153" s="4"/>
      <c r="B153" s="5"/>
    </row>
    <row r="154" spans="1:4" x14ac:dyDescent="0.2">
      <c r="A154" s="7"/>
      <c r="B154" s="5"/>
    </row>
    <row r="155" spans="1:4" x14ac:dyDescent="0.2">
      <c r="A155" s="7"/>
      <c r="B155" s="5"/>
    </row>
    <row r="156" spans="1:4" x14ac:dyDescent="0.2">
      <c r="A156" s="4"/>
      <c r="B156" s="5"/>
    </row>
    <row r="157" spans="1:4" x14ac:dyDescent="0.2">
      <c r="A157" s="4"/>
      <c r="B157" s="5"/>
    </row>
    <row r="158" spans="1:4" x14ac:dyDescent="0.2">
      <c r="A158" s="4"/>
      <c r="B158" s="5"/>
    </row>
    <row r="159" spans="1:4" x14ac:dyDescent="0.2">
      <c r="A159" s="4"/>
      <c r="B159" s="5"/>
    </row>
    <row r="160" spans="1:4" x14ac:dyDescent="0.2">
      <c r="A160" s="7"/>
      <c r="B160" s="5"/>
    </row>
    <row r="161" spans="1:2" x14ac:dyDescent="0.2">
      <c r="A161" s="7"/>
      <c r="B161" s="5"/>
    </row>
    <row r="162" spans="1:2" x14ac:dyDescent="0.2">
      <c r="A162" s="4"/>
      <c r="B162" s="5"/>
    </row>
    <row r="163" spans="1:2" x14ac:dyDescent="0.2">
      <c r="A163" s="4"/>
      <c r="B163" s="5"/>
    </row>
    <row r="164" spans="1:2" x14ac:dyDescent="0.2">
      <c r="A164" s="4"/>
      <c r="B164" s="5"/>
    </row>
    <row r="165" spans="1:2" x14ac:dyDescent="0.2">
      <c r="A165" s="4"/>
      <c r="B165" s="5"/>
    </row>
    <row r="166" spans="1:2" x14ac:dyDescent="0.2">
      <c r="A166" s="4"/>
      <c r="B166" s="5"/>
    </row>
    <row r="167" spans="1:2" x14ac:dyDescent="0.2">
      <c r="A167" s="4"/>
      <c r="B167" s="5"/>
    </row>
    <row r="168" spans="1:2" x14ac:dyDescent="0.2">
      <c r="A168" s="4"/>
      <c r="B168" s="5"/>
    </row>
    <row r="169" spans="1:2" x14ac:dyDescent="0.2">
      <c r="A169" s="4"/>
      <c r="B169" s="5"/>
    </row>
    <row r="170" spans="1:2" x14ac:dyDescent="0.2">
      <c r="A170" s="4"/>
      <c r="B170" s="5"/>
    </row>
    <row r="171" spans="1:2" x14ac:dyDescent="0.2">
      <c r="A171" s="4"/>
      <c r="B171" s="5"/>
    </row>
    <row r="172" spans="1:2" x14ac:dyDescent="0.2">
      <c r="A172" s="4"/>
      <c r="B172" s="5"/>
    </row>
    <row r="173" spans="1:2" x14ac:dyDescent="0.2">
      <c r="A173" s="7"/>
      <c r="B173" s="5"/>
    </row>
    <row r="174" spans="1:2" x14ac:dyDescent="0.2">
      <c r="A174" s="7"/>
      <c r="B174" s="5"/>
    </row>
    <row r="175" spans="1:2" x14ac:dyDescent="0.2">
      <c r="A175" s="4"/>
      <c r="B175" s="5"/>
    </row>
    <row r="176" spans="1:2" x14ac:dyDescent="0.2">
      <c r="A176" s="4"/>
      <c r="B176" s="5"/>
    </row>
    <row r="177" spans="1:2" x14ac:dyDescent="0.2">
      <c r="A177" s="4"/>
      <c r="B177" s="5"/>
    </row>
    <row r="178" spans="1:2" x14ac:dyDescent="0.2">
      <c r="A178" s="4"/>
      <c r="B178" s="5"/>
    </row>
    <row r="179" spans="1:2" x14ac:dyDescent="0.2">
      <c r="A179" s="4"/>
      <c r="B179" s="5"/>
    </row>
    <row r="180" spans="1:2" x14ac:dyDescent="0.2">
      <c r="A180" s="4"/>
      <c r="B180" s="5"/>
    </row>
    <row r="181" spans="1:2" x14ac:dyDescent="0.2">
      <c r="A181" s="4"/>
      <c r="B181" s="5"/>
    </row>
    <row r="182" spans="1:2" x14ac:dyDescent="0.2">
      <c r="A182" s="4"/>
      <c r="B182" s="5"/>
    </row>
    <row r="183" spans="1:2" x14ac:dyDescent="0.2">
      <c r="A183" s="4"/>
      <c r="B183" s="5"/>
    </row>
    <row r="184" spans="1:2" x14ac:dyDescent="0.2">
      <c r="A184" s="4"/>
      <c r="B184" s="5"/>
    </row>
    <row r="185" spans="1:2" x14ac:dyDescent="0.2">
      <c r="A185" s="4"/>
      <c r="B185" s="5"/>
    </row>
    <row r="186" spans="1:2" x14ac:dyDescent="0.2">
      <c r="A186" s="4"/>
      <c r="B186" s="5"/>
    </row>
    <row r="187" spans="1:2" x14ac:dyDescent="0.2">
      <c r="A187" s="4"/>
      <c r="B187" s="5"/>
    </row>
    <row r="188" spans="1:2" x14ac:dyDescent="0.2">
      <c r="A188" s="4"/>
      <c r="B188" s="5"/>
    </row>
    <row r="189" spans="1:2" x14ac:dyDescent="0.2">
      <c r="A189" s="4"/>
      <c r="B189" s="5"/>
    </row>
    <row r="190" spans="1:2" x14ac:dyDescent="0.2">
      <c r="A190" s="7"/>
      <c r="B190" s="5"/>
    </row>
    <row r="191" spans="1:2" x14ac:dyDescent="0.2">
      <c r="A191" s="7"/>
      <c r="B191" s="5"/>
    </row>
    <row r="192" spans="1:2" x14ac:dyDescent="0.2">
      <c r="A192" s="4"/>
      <c r="B192" s="5"/>
    </row>
    <row r="193" spans="1:2" x14ac:dyDescent="0.2">
      <c r="A193" s="4"/>
      <c r="B193" s="5"/>
    </row>
    <row r="194" spans="1:2" x14ac:dyDescent="0.2">
      <c r="A194" s="4"/>
      <c r="B194" s="5"/>
    </row>
    <row r="195" spans="1:2" x14ac:dyDescent="0.2">
      <c r="A195" s="4"/>
      <c r="B195" s="8"/>
    </row>
    <row r="196" spans="1:2" x14ac:dyDescent="0.2">
      <c r="A196" s="4"/>
      <c r="B196" s="8"/>
    </row>
    <row r="197" spans="1:2" x14ac:dyDescent="0.2">
      <c r="B197" s="5"/>
    </row>
    <row r="198" spans="1:2" x14ac:dyDescent="0.2">
      <c r="A198" s="9"/>
      <c r="B198" s="8"/>
    </row>
    <row r="199" spans="1:2" x14ac:dyDescent="0.2">
      <c r="A199" s="9"/>
      <c r="B199" s="5"/>
    </row>
    <row r="201" spans="1:2" x14ac:dyDescent="0.2">
      <c r="A201" s="9"/>
    </row>
  </sheetData>
  <mergeCells count="2">
    <mergeCell ref="A1:C1"/>
    <mergeCell ref="A146:C146"/>
  </mergeCells>
  <printOptions horizontalCentered="1"/>
  <pageMargins left="3.937007874015748E-2" right="3.937007874015748E-2" top="2.1259842519685042" bottom="0.74803149606299213" header="0.31496062992125984" footer="0.31496062992125984"/>
  <pageSetup paperSize="9" orientation="portrait" r:id="rId1"/>
  <headerFooter scaleWithDoc="0">
    <oddHeader>&amp;C&amp;G</oddHead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9"/>
  <sheetViews>
    <sheetView workbookViewId="0">
      <selection activeCell="L12" sqref="L12"/>
    </sheetView>
  </sheetViews>
  <sheetFormatPr defaultColWidth="8.85546875" defaultRowHeight="12.75" x14ac:dyDescent="0.2"/>
  <cols>
    <col min="1" max="1" width="34.85546875" customWidth="1"/>
    <col min="2" max="2" width="24.42578125" style="2" customWidth="1"/>
    <col min="3" max="3" width="18.28515625" style="12" bestFit="1" customWidth="1"/>
    <col min="4" max="4" width="11.140625" customWidth="1"/>
    <col min="5" max="5" width="37.85546875" customWidth="1"/>
    <col min="8" max="8" width="5.5703125" customWidth="1"/>
  </cols>
  <sheetData>
    <row r="1" spans="1:8" ht="27" customHeight="1" x14ac:dyDescent="0.4">
      <c r="A1" s="279" t="s">
        <v>137</v>
      </c>
      <c r="B1" s="279"/>
      <c r="C1" s="279"/>
      <c r="D1" s="279"/>
      <c r="E1" s="279" t="s">
        <v>607</v>
      </c>
      <c r="F1" s="279"/>
      <c r="G1" s="279"/>
      <c r="H1" s="279"/>
    </row>
    <row r="2" spans="1:8" ht="16.5" customHeight="1" x14ac:dyDescent="0.2">
      <c r="A2" s="299" t="s">
        <v>137</v>
      </c>
      <c r="B2" s="298"/>
      <c r="C2" s="14"/>
      <c r="D2" s="10"/>
    </row>
    <row r="3" spans="1:8" ht="18.75" customHeight="1" x14ac:dyDescent="0.2">
      <c r="A3" s="300" t="s">
        <v>138</v>
      </c>
      <c r="B3" s="300"/>
      <c r="C3" s="14">
        <v>450</v>
      </c>
      <c r="D3" s="10" t="s">
        <v>108</v>
      </c>
      <c r="E3" s="14">
        <v>700</v>
      </c>
      <c r="F3" s="10" t="s">
        <v>108</v>
      </c>
    </row>
    <row r="4" spans="1:8" ht="15" customHeight="1" x14ac:dyDescent="0.2">
      <c r="A4" s="300" t="s">
        <v>139</v>
      </c>
      <c r="B4" s="300"/>
      <c r="C4" s="11"/>
      <c r="D4" s="10"/>
    </row>
    <row r="5" spans="1:8" ht="16.5" customHeight="1" x14ac:dyDescent="0.2">
      <c r="A5" s="300" t="s">
        <v>605</v>
      </c>
      <c r="B5" s="300"/>
      <c r="C5" s="14">
        <v>200</v>
      </c>
      <c r="D5" s="10" t="s">
        <v>606</v>
      </c>
      <c r="E5" s="14">
        <v>200</v>
      </c>
      <c r="F5" s="10" t="s">
        <v>606</v>
      </c>
    </row>
    <row r="6" spans="1:8" ht="8.25" customHeight="1" x14ac:dyDescent="0.2"/>
    <row r="7" spans="1:8" ht="17.25" customHeight="1" x14ac:dyDescent="0.2"/>
    <row r="8" spans="1:8" ht="17.25" customHeight="1" x14ac:dyDescent="0.2">
      <c r="A8" s="294" t="s">
        <v>140</v>
      </c>
      <c r="B8" s="295"/>
      <c r="C8" s="11">
        <v>100</v>
      </c>
      <c r="D8" s="10" t="s">
        <v>119</v>
      </c>
      <c r="E8" s="294" t="s">
        <v>140</v>
      </c>
      <c r="F8" s="295"/>
      <c r="G8" s="11">
        <v>120</v>
      </c>
      <c r="H8" s="10" t="s">
        <v>119</v>
      </c>
    </row>
    <row r="9" spans="1:8" ht="15.75" customHeight="1" x14ac:dyDescent="0.2">
      <c r="A9" s="296"/>
      <c r="B9" s="296"/>
      <c r="C9" s="296"/>
      <c r="D9" s="296"/>
      <c r="E9" s="296"/>
      <c r="F9" s="296"/>
      <c r="G9" s="296"/>
      <c r="H9" s="296"/>
    </row>
    <row r="10" spans="1:8" ht="20.25" customHeight="1" x14ac:dyDescent="0.2">
      <c r="A10" s="297" t="s">
        <v>151</v>
      </c>
      <c r="B10" s="298"/>
      <c r="C10" s="42">
        <v>280</v>
      </c>
      <c r="D10" s="10" t="s">
        <v>108</v>
      </c>
      <c r="E10" s="297" t="s">
        <v>151</v>
      </c>
      <c r="F10" s="298"/>
      <c r="G10" s="42">
        <v>380</v>
      </c>
      <c r="H10" s="10" t="s">
        <v>108</v>
      </c>
    </row>
    <row r="11" spans="1:8" ht="15" x14ac:dyDescent="0.2">
      <c r="A11" s="82"/>
      <c r="B11" s="54"/>
      <c r="C11" s="42"/>
      <c r="D11" s="10"/>
      <c r="E11" s="82"/>
      <c r="F11" s="54"/>
      <c r="G11" s="42"/>
      <c r="H11" s="10"/>
    </row>
    <row r="12" spans="1:8" ht="47.25" x14ac:dyDescent="0.25">
      <c r="A12" s="267" t="s">
        <v>141</v>
      </c>
      <c r="B12" s="268"/>
      <c r="C12" s="268"/>
      <c r="D12" s="269"/>
      <c r="E12" s="267" t="s">
        <v>141</v>
      </c>
      <c r="F12" s="268"/>
      <c r="G12" s="268"/>
      <c r="H12" s="269"/>
    </row>
    <row r="13" spans="1:8" ht="15" x14ac:dyDescent="0.2">
      <c r="A13" s="266"/>
      <c r="B13" s="266"/>
      <c r="C13" s="266"/>
      <c r="D13" s="266"/>
      <c r="E13" s="266"/>
      <c r="F13" s="266"/>
      <c r="G13" s="266"/>
      <c r="H13" s="266"/>
    </row>
    <row r="14" spans="1:8" x14ac:dyDescent="0.2">
      <c r="A14" s="4"/>
      <c r="B14" s="5"/>
      <c r="C14" s="6"/>
    </row>
    <row r="15" spans="1:8" x14ac:dyDescent="0.2">
      <c r="A15" s="4"/>
      <c r="B15" s="5"/>
      <c r="C15" s="6"/>
    </row>
    <row r="16" spans="1:8" x14ac:dyDescent="0.2">
      <c r="A16" s="4"/>
      <c r="B16" s="5"/>
      <c r="C16" s="6"/>
    </row>
    <row r="17" spans="1:3" x14ac:dyDescent="0.2">
      <c r="A17" s="4"/>
      <c r="B17" s="5"/>
      <c r="C17" s="6"/>
    </row>
    <row r="18" spans="1:3" x14ac:dyDescent="0.2">
      <c r="A18" s="7"/>
      <c r="B18" s="5"/>
      <c r="C18" s="6"/>
    </row>
    <row r="19" spans="1:3" x14ac:dyDescent="0.2">
      <c r="A19" s="7"/>
      <c r="B19" s="5"/>
      <c r="C19" s="6"/>
    </row>
    <row r="20" spans="1:3" x14ac:dyDescent="0.2">
      <c r="A20" s="4"/>
      <c r="B20" s="5"/>
      <c r="C20" s="6"/>
    </row>
    <row r="21" spans="1:3" x14ac:dyDescent="0.2">
      <c r="A21" s="4"/>
      <c r="B21" s="5"/>
      <c r="C21" s="6"/>
    </row>
    <row r="22" spans="1:3" x14ac:dyDescent="0.2">
      <c r="A22" s="4"/>
      <c r="B22" s="5"/>
      <c r="C22" s="6"/>
    </row>
    <row r="23" spans="1:3" x14ac:dyDescent="0.2">
      <c r="A23" s="4"/>
      <c r="B23" s="8"/>
      <c r="C23" s="6"/>
    </row>
    <row r="24" spans="1:3" x14ac:dyDescent="0.2">
      <c r="A24" s="4"/>
      <c r="B24" s="8"/>
      <c r="C24" s="6"/>
    </row>
    <row r="25" spans="1:3" x14ac:dyDescent="0.2">
      <c r="B25" s="5"/>
      <c r="C25" s="6"/>
    </row>
    <row r="26" spans="1:3" x14ac:dyDescent="0.2">
      <c r="A26" s="9"/>
      <c r="B26" s="8"/>
      <c r="C26" s="13"/>
    </row>
    <row r="27" spans="1:3" x14ac:dyDescent="0.2">
      <c r="A27" s="9"/>
      <c r="B27" s="5"/>
      <c r="C27" s="6"/>
    </row>
    <row r="29" spans="1:3" x14ac:dyDescent="0.2">
      <c r="A29" s="9"/>
    </row>
  </sheetData>
  <mergeCells count="12">
    <mergeCell ref="E1:H1"/>
    <mergeCell ref="E8:F8"/>
    <mergeCell ref="E9:H9"/>
    <mergeCell ref="E10:F10"/>
    <mergeCell ref="A10:B10"/>
    <mergeCell ref="A1:D1"/>
    <mergeCell ref="A2:B2"/>
    <mergeCell ref="A3:B3"/>
    <mergeCell ref="A4:B4"/>
    <mergeCell ref="A8:B8"/>
    <mergeCell ref="A9:D9"/>
    <mergeCell ref="A5:B5"/>
  </mergeCells>
  <printOptions horizontalCentered="1"/>
  <pageMargins left="0" right="0" top="1.5748031496062993" bottom="0.39370078740157483" header="0.11811023622047245" footer="0.51181102362204722"/>
  <pageSetup paperSize="9" orientation="portrait" r:id="rId1"/>
  <headerFooter scaleWithDoc="0">
    <oddHeader>&amp;C&amp;G</oddHead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4"/>
  <sheetViews>
    <sheetView zoomScaleNormal="100" workbookViewId="0">
      <selection activeCell="E24" sqref="E24"/>
    </sheetView>
  </sheetViews>
  <sheetFormatPr defaultColWidth="8.85546875" defaultRowHeight="12.75" x14ac:dyDescent="0.2"/>
  <cols>
    <col min="1" max="1" width="61.140625" customWidth="1"/>
    <col min="2" max="2" width="18.28515625" style="12" bestFit="1" customWidth="1"/>
    <col min="3" max="3" width="11.140625" customWidth="1"/>
    <col min="4" max="4" width="32.85546875" bestFit="1" customWidth="1"/>
  </cols>
  <sheetData>
    <row r="1" spans="1:4" ht="27" customHeight="1" x14ac:dyDescent="0.4">
      <c r="A1" s="279" t="s">
        <v>306</v>
      </c>
      <c r="B1" s="279"/>
      <c r="C1" s="279"/>
    </row>
    <row r="2" spans="1:4" ht="15" customHeight="1" x14ac:dyDescent="0.2">
      <c r="A2" s="172"/>
      <c r="B2" s="126" t="s">
        <v>275</v>
      </c>
      <c r="C2" s="118" t="s">
        <v>290</v>
      </c>
    </row>
    <row r="3" spans="1:4" x14ac:dyDescent="0.2">
      <c r="A3" s="173" t="s">
        <v>415</v>
      </c>
      <c r="B3" s="14"/>
      <c r="C3" s="124">
        <f>300*3</f>
        <v>900</v>
      </c>
    </row>
    <row r="4" spans="1:4" x14ac:dyDescent="0.2">
      <c r="A4" s="175" t="s">
        <v>377</v>
      </c>
      <c r="B4" s="98">
        <f>(150*0.8)</f>
        <v>120</v>
      </c>
      <c r="C4" s="10"/>
      <c r="D4" s="69"/>
    </row>
    <row r="5" spans="1:4" x14ac:dyDescent="0.2">
      <c r="A5" s="176" t="s">
        <v>378</v>
      </c>
      <c r="B5" s="98">
        <f>((27.5*8)*2)</f>
        <v>440</v>
      </c>
      <c r="C5" s="10"/>
      <c r="D5" s="69"/>
    </row>
    <row r="6" spans="1:4" x14ac:dyDescent="0.2">
      <c r="A6" s="176" t="s">
        <v>379</v>
      </c>
      <c r="B6" s="98">
        <f>1.5*2</f>
        <v>3</v>
      </c>
      <c r="C6" s="10"/>
      <c r="D6" s="69"/>
    </row>
    <row r="7" spans="1:4" x14ac:dyDescent="0.2">
      <c r="A7" s="177" t="s">
        <v>426</v>
      </c>
      <c r="B7" s="123">
        <f>SUM(B4:B6)</f>
        <v>563</v>
      </c>
      <c r="C7" s="10"/>
      <c r="D7" s="69"/>
    </row>
    <row r="8" spans="1:4" ht="15" customHeight="1" x14ac:dyDescent="0.2">
      <c r="A8" s="176" t="s">
        <v>430</v>
      </c>
      <c r="B8" s="98">
        <f>(B7*10)/100</f>
        <v>56.3</v>
      </c>
      <c r="C8" s="10"/>
    </row>
    <row r="9" spans="1:4" x14ac:dyDescent="0.2">
      <c r="A9" s="176" t="s">
        <v>431</v>
      </c>
      <c r="B9" s="98">
        <f>(B7*5)/100</f>
        <v>28.15</v>
      </c>
      <c r="C9" s="10"/>
    </row>
    <row r="10" spans="1:4" x14ac:dyDescent="0.2">
      <c r="A10" s="177" t="s">
        <v>432</v>
      </c>
      <c r="B10" s="123">
        <f>SUM(B7:B9)</f>
        <v>647.44999999999993</v>
      </c>
      <c r="C10" s="10"/>
    </row>
    <row r="11" spans="1:4" x14ac:dyDescent="0.2">
      <c r="A11" s="175" t="s">
        <v>276</v>
      </c>
      <c r="B11" s="174">
        <f>(C3*10)/100</f>
        <v>90</v>
      </c>
      <c r="C11" s="10"/>
    </row>
    <row r="12" spans="1:4" x14ac:dyDescent="0.2">
      <c r="A12" s="10" t="s">
        <v>428</v>
      </c>
      <c r="B12" s="198"/>
      <c r="C12" s="10"/>
    </row>
    <row r="13" spans="1:4" x14ac:dyDescent="0.2">
      <c r="A13" s="118" t="s">
        <v>427</v>
      </c>
      <c r="B13" s="198">
        <f>B10+B11+B12</f>
        <v>737.44999999999993</v>
      </c>
      <c r="C13" s="10"/>
    </row>
    <row r="14" spans="1:4" x14ac:dyDescent="0.2">
      <c r="A14" s="176" t="s">
        <v>429</v>
      </c>
      <c r="B14" s="98">
        <f>C3-B13</f>
        <v>162.55000000000007</v>
      </c>
      <c r="C14" s="10"/>
    </row>
    <row r="15" spans="1:4" x14ac:dyDescent="0.2">
      <c r="A15" s="176"/>
      <c r="B15" s="98"/>
      <c r="C15" s="10"/>
    </row>
    <row r="16" spans="1:4" x14ac:dyDescent="0.2">
      <c r="A16" s="175" t="s">
        <v>441</v>
      </c>
      <c r="B16" s="98">
        <f>B13*130%</f>
        <v>958.68499999999995</v>
      </c>
      <c r="C16" s="10"/>
    </row>
    <row r="17" spans="1:3" x14ac:dyDescent="0.2">
      <c r="A17" s="9"/>
    </row>
    <row r="19" spans="1:3" x14ac:dyDescent="0.2">
      <c r="A19" s="172"/>
      <c r="B19" s="126" t="s">
        <v>275</v>
      </c>
      <c r="C19" s="118" t="s">
        <v>290</v>
      </c>
    </row>
    <row r="20" spans="1:3" x14ac:dyDescent="0.2">
      <c r="A20" s="173" t="s">
        <v>416</v>
      </c>
      <c r="B20" s="14"/>
      <c r="C20" s="124">
        <v>450</v>
      </c>
    </row>
    <row r="21" spans="1:3" x14ac:dyDescent="0.2">
      <c r="A21" s="175" t="s">
        <v>414</v>
      </c>
      <c r="B21" s="98">
        <f>(60*0.8)</f>
        <v>48</v>
      </c>
      <c r="C21" s="10"/>
    </row>
    <row r="22" spans="1:3" x14ac:dyDescent="0.2">
      <c r="A22" s="176" t="s">
        <v>378</v>
      </c>
      <c r="B22" s="98">
        <f>((27.5*3)*2)</f>
        <v>165</v>
      </c>
      <c r="C22" s="10"/>
    </row>
    <row r="23" spans="1:3" x14ac:dyDescent="0.2">
      <c r="A23" s="176" t="s">
        <v>379</v>
      </c>
      <c r="B23" s="98">
        <v>20</v>
      </c>
      <c r="C23" s="10"/>
    </row>
    <row r="24" spans="1:3" x14ac:dyDescent="0.2">
      <c r="A24" s="177" t="s">
        <v>426</v>
      </c>
      <c r="B24" s="98">
        <f>SUM(B21:B23)</f>
        <v>233</v>
      </c>
      <c r="C24" s="10"/>
    </row>
    <row r="25" spans="1:3" x14ac:dyDescent="0.2">
      <c r="A25" s="176" t="s">
        <v>430</v>
      </c>
      <c r="B25" s="98">
        <f>(B24*10)/100</f>
        <v>23.3</v>
      </c>
      <c r="C25" s="10"/>
    </row>
    <row r="26" spans="1:3" x14ac:dyDescent="0.2">
      <c r="A26" s="176" t="s">
        <v>431</v>
      </c>
      <c r="B26" s="98">
        <f>(B24*5)/100</f>
        <v>11.65</v>
      </c>
      <c r="C26" s="10"/>
    </row>
    <row r="27" spans="1:3" x14ac:dyDescent="0.2">
      <c r="A27" s="177" t="s">
        <v>432</v>
      </c>
      <c r="B27" s="123">
        <f>SUM(B24:B26)</f>
        <v>267.95</v>
      </c>
      <c r="C27" s="10"/>
    </row>
    <row r="28" spans="1:3" x14ac:dyDescent="0.2">
      <c r="A28" s="175" t="s">
        <v>276</v>
      </c>
      <c r="B28" s="174">
        <f>(C20*10)/100</f>
        <v>45</v>
      </c>
      <c r="C28" s="10"/>
    </row>
    <row r="29" spans="1:3" x14ac:dyDescent="0.2">
      <c r="A29" s="10" t="s">
        <v>428</v>
      </c>
      <c r="B29" s="198"/>
      <c r="C29" s="10"/>
    </row>
    <row r="30" spans="1:3" x14ac:dyDescent="0.2">
      <c r="A30" s="199" t="s">
        <v>427</v>
      </c>
      <c r="B30" s="198">
        <f>B27+B28+B29</f>
        <v>312.95</v>
      </c>
      <c r="C30" s="10"/>
    </row>
    <row r="31" spans="1:3" x14ac:dyDescent="0.2">
      <c r="A31" s="176" t="s">
        <v>429</v>
      </c>
      <c r="B31" s="98">
        <f>C20-B30</f>
        <v>137.05000000000001</v>
      </c>
      <c r="C31" s="10"/>
    </row>
    <row r="32" spans="1:3" x14ac:dyDescent="0.2">
      <c r="A32" s="175"/>
      <c r="B32" s="98"/>
      <c r="C32" s="10"/>
    </row>
    <row r="33" spans="1:3" x14ac:dyDescent="0.2">
      <c r="A33" s="175" t="s">
        <v>441</v>
      </c>
      <c r="B33" s="98">
        <f>B30*130%</f>
        <v>406.83499999999998</v>
      </c>
      <c r="C33" s="10"/>
    </row>
    <row r="34" spans="1:3" x14ac:dyDescent="0.2">
      <c r="A34" s="1"/>
      <c r="B34" s="198"/>
      <c r="C34" s="1"/>
    </row>
  </sheetData>
  <mergeCells count="1">
    <mergeCell ref="A1:C1"/>
  </mergeCells>
  <printOptions horizontalCentered="1"/>
  <pageMargins left="0" right="0" top="1.5748031496062993" bottom="0.39370078740157483" header="0.11811023622047245" footer="0.51181102362204722"/>
  <pageSetup paperSize="9" orientation="portrait" r:id="rId1"/>
  <headerFooter scaleWithDoc="0">
    <oddHeader>&amp;C&amp;G</oddHead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4"/>
  <sheetViews>
    <sheetView workbookViewId="0">
      <selection activeCell="E1" sqref="E1"/>
    </sheetView>
  </sheetViews>
  <sheetFormatPr defaultColWidth="8.85546875" defaultRowHeight="12.75" x14ac:dyDescent="0.2"/>
  <cols>
    <col min="1" max="1" width="34.85546875" customWidth="1"/>
    <col min="2" max="2" width="23.42578125" style="2" customWidth="1"/>
    <col min="3" max="3" width="18.28515625" style="12" bestFit="1" customWidth="1"/>
    <col min="4" max="4" width="7.7109375" customWidth="1"/>
    <col min="5" max="5" width="46.28515625" bestFit="1" customWidth="1"/>
    <col min="7" max="7" width="20.42578125" customWidth="1"/>
    <col min="8" max="8" width="14.7109375" customWidth="1"/>
  </cols>
  <sheetData>
    <row r="1" spans="1:8" ht="32.25" customHeight="1" x14ac:dyDescent="0.4">
      <c r="A1" s="279" t="s">
        <v>11</v>
      </c>
      <c r="B1" s="279"/>
      <c r="C1" s="279"/>
      <c r="D1" s="279"/>
      <c r="E1" s="270" t="s">
        <v>608</v>
      </c>
    </row>
    <row r="2" spans="1:8" ht="16.5" customHeight="1" x14ac:dyDescent="0.2">
      <c r="A2" s="300" t="s">
        <v>32</v>
      </c>
      <c r="B2" s="300"/>
      <c r="C2" s="14">
        <v>200</v>
      </c>
      <c r="D2" s="10" t="s">
        <v>54</v>
      </c>
      <c r="E2" s="14">
        <v>240</v>
      </c>
      <c r="F2" s="10" t="s">
        <v>54</v>
      </c>
    </row>
    <row r="3" spans="1:8" ht="18" customHeight="1" x14ac:dyDescent="0.2">
      <c r="A3" s="300" t="s">
        <v>33</v>
      </c>
      <c r="B3" s="300"/>
      <c r="C3" s="14">
        <v>230</v>
      </c>
      <c r="D3" s="10" t="s">
        <v>54</v>
      </c>
      <c r="E3" s="14">
        <v>300</v>
      </c>
      <c r="F3" s="10" t="s">
        <v>54</v>
      </c>
    </row>
    <row r="4" spans="1:8" ht="19.5" customHeight="1" x14ac:dyDescent="0.2">
      <c r="A4" s="300" t="s">
        <v>34</v>
      </c>
      <c r="B4" s="300"/>
      <c r="C4" s="11">
        <v>180</v>
      </c>
      <c r="D4" s="10" t="s">
        <v>54</v>
      </c>
      <c r="E4" s="11">
        <v>200</v>
      </c>
      <c r="F4" s="10" t="s">
        <v>54</v>
      </c>
    </row>
    <row r="5" spans="1:8" ht="9" customHeight="1" x14ac:dyDescent="0.2">
      <c r="A5" s="313"/>
      <c r="B5" s="314"/>
      <c r="C5" s="314"/>
      <c r="D5" s="315"/>
    </row>
    <row r="6" spans="1:8" ht="18" customHeight="1" x14ac:dyDescent="0.2">
      <c r="A6" s="300" t="s">
        <v>35</v>
      </c>
      <c r="B6" s="300"/>
      <c r="C6" s="42">
        <v>350</v>
      </c>
      <c r="D6" s="10" t="s">
        <v>55</v>
      </c>
      <c r="E6" s="42">
        <v>350</v>
      </c>
      <c r="F6" s="10" t="s">
        <v>55</v>
      </c>
    </row>
    <row r="7" spans="1:8" ht="17.25" customHeight="1" x14ac:dyDescent="0.2">
      <c r="A7" s="300" t="s">
        <v>36</v>
      </c>
      <c r="B7" s="300"/>
      <c r="C7" s="42">
        <v>450</v>
      </c>
      <c r="D7" s="10" t="s">
        <v>55</v>
      </c>
      <c r="E7" s="42">
        <v>450</v>
      </c>
      <c r="F7" s="10" t="s">
        <v>55</v>
      </c>
    </row>
    <row r="8" spans="1:8" ht="20.25" customHeight="1" x14ac:dyDescent="0.2">
      <c r="A8" s="300" t="s">
        <v>37</v>
      </c>
      <c r="B8" s="300"/>
      <c r="C8" s="42">
        <v>700</v>
      </c>
      <c r="D8" s="10" t="s">
        <v>56</v>
      </c>
      <c r="E8" s="42">
        <v>800</v>
      </c>
      <c r="F8" s="10" t="s">
        <v>56</v>
      </c>
    </row>
    <row r="9" spans="1:8" ht="20.25" customHeight="1" x14ac:dyDescent="0.2">
      <c r="A9" s="294" t="s">
        <v>222</v>
      </c>
      <c r="B9" s="316"/>
      <c r="C9" s="42">
        <v>250</v>
      </c>
      <c r="D9" s="10" t="s">
        <v>54</v>
      </c>
      <c r="E9" s="42">
        <v>250</v>
      </c>
      <c r="F9" s="10" t="s">
        <v>54</v>
      </c>
    </row>
    <row r="10" spans="1:8" ht="9" customHeight="1" x14ac:dyDescent="0.2">
      <c r="A10" s="45"/>
      <c r="B10" s="46"/>
      <c r="C10" s="46"/>
      <c r="D10" s="47"/>
    </row>
    <row r="11" spans="1:8" ht="13.5" customHeight="1" x14ac:dyDescent="0.2">
      <c r="A11" s="310"/>
      <c r="B11" s="311"/>
      <c r="C11" s="311"/>
      <c r="D11" s="312"/>
    </row>
    <row r="12" spans="1:8" ht="15" x14ac:dyDescent="0.2">
      <c r="A12" s="43"/>
      <c r="B12" s="48" t="s">
        <v>38</v>
      </c>
      <c r="C12" s="49" t="s">
        <v>39</v>
      </c>
      <c r="D12" s="1"/>
      <c r="E12" s="43"/>
      <c r="F12" s="48" t="s">
        <v>38</v>
      </c>
      <c r="G12" s="49" t="s">
        <v>39</v>
      </c>
      <c r="H12" s="1"/>
    </row>
    <row r="13" spans="1:8" ht="15" x14ac:dyDescent="0.2">
      <c r="A13" s="76" t="s">
        <v>40</v>
      </c>
      <c r="B13" s="77">
        <v>17</v>
      </c>
      <c r="C13" s="78">
        <v>22</v>
      </c>
      <c r="D13" s="79" t="s">
        <v>50</v>
      </c>
      <c r="E13" s="76" t="s">
        <v>40</v>
      </c>
      <c r="F13" s="77">
        <v>17</v>
      </c>
      <c r="G13" s="78">
        <v>22</v>
      </c>
      <c r="H13" s="79" t="s">
        <v>50</v>
      </c>
    </row>
    <row r="14" spans="1:8" ht="15" x14ac:dyDescent="0.2">
      <c r="A14" s="76" t="s">
        <v>41</v>
      </c>
      <c r="B14" s="77">
        <v>15</v>
      </c>
      <c r="C14" s="78">
        <v>20</v>
      </c>
      <c r="D14" s="79" t="s">
        <v>50</v>
      </c>
      <c r="E14" s="76" t="s">
        <v>41</v>
      </c>
      <c r="F14" s="77">
        <v>15</v>
      </c>
      <c r="G14" s="78">
        <v>20</v>
      </c>
      <c r="H14" s="79" t="s">
        <v>50</v>
      </c>
    </row>
    <row r="15" spans="1:8" ht="15" x14ac:dyDescent="0.2">
      <c r="A15" s="76" t="s">
        <v>42</v>
      </c>
      <c r="B15" s="77">
        <v>14.5</v>
      </c>
      <c r="C15" s="78">
        <v>19.5</v>
      </c>
      <c r="D15" s="79" t="s">
        <v>50</v>
      </c>
      <c r="E15" s="76" t="s">
        <v>42</v>
      </c>
      <c r="F15" s="77">
        <v>14.5</v>
      </c>
      <c r="G15" s="78">
        <v>19.5</v>
      </c>
      <c r="H15" s="79" t="s">
        <v>50</v>
      </c>
    </row>
    <row r="16" spans="1:8" ht="15" x14ac:dyDescent="0.2">
      <c r="A16" s="76" t="s">
        <v>43</v>
      </c>
      <c r="B16" s="77">
        <v>14</v>
      </c>
      <c r="C16" s="78">
        <v>19</v>
      </c>
      <c r="D16" s="79" t="s">
        <v>50</v>
      </c>
      <c r="E16" s="76" t="s">
        <v>43</v>
      </c>
      <c r="F16" s="77">
        <v>14</v>
      </c>
      <c r="G16" s="78">
        <v>19</v>
      </c>
      <c r="H16" s="79" t="s">
        <v>50</v>
      </c>
    </row>
    <row r="17" spans="1:8" ht="15" x14ac:dyDescent="0.2">
      <c r="A17" s="76" t="s">
        <v>44</v>
      </c>
      <c r="B17" s="77">
        <v>13.5</v>
      </c>
      <c r="C17" s="78">
        <v>18.5</v>
      </c>
      <c r="D17" s="79" t="s">
        <v>50</v>
      </c>
      <c r="E17" s="76" t="s">
        <v>44</v>
      </c>
      <c r="F17" s="77">
        <v>13.5</v>
      </c>
      <c r="G17" s="78">
        <v>18.5</v>
      </c>
      <c r="H17" s="79" t="s">
        <v>50</v>
      </c>
    </row>
    <row r="18" spans="1:8" ht="15" x14ac:dyDescent="0.2">
      <c r="A18" s="76" t="s">
        <v>45</v>
      </c>
      <c r="B18" s="77">
        <v>13</v>
      </c>
      <c r="C18" s="78">
        <v>18</v>
      </c>
      <c r="D18" s="79" t="s">
        <v>50</v>
      </c>
      <c r="E18" s="76" t="s">
        <v>45</v>
      </c>
      <c r="F18" s="77">
        <v>13</v>
      </c>
      <c r="G18" s="78">
        <v>18</v>
      </c>
      <c r="H18" s="79" t="s">
        <v>50</v>
      </c>
    </row>
    <row r="19" spans="1:8" ht="15" x14ac:dyDescent="0.2">
      <c r="A19" s="76" t="s">
        <v>46</v>
      </c>
      <c r="B19" s="77">
        <v>12.5</v>
      </c>
      <c r="C19" s="78">
        <v>17.5</v>
      </c>
      <c r="D19" s="79" t="s">
        <v>50</v>
      </c>
      <c r="E19" s="76" t="s">
        <v>46</v>
      </c>
      <c r="F19" s="77">
        <v>12.5</v>
      </c>
      <c r="G19" s="78">
        <v>17.5</v>
      </c>
      <c r="H19" s="79" t="s">
        <v>50</v>
      </c>
    </row>
    <row r="20" spans="1:8" ht="15" x14ac:dyDescent="0.2">
      <c r="A20" s="76" t="s">
        <v>47</v>
      </c>
      <c r="B20" s="77">
        <v>12</v>
      </c>
      <c r="C20" s="78">
        <v>17</v>
      </c>
      <c r="D20" s="79" t="s">
        <v>50</v>
      </c>
      <c r="E20" s="76" t="s">
        <v>47</v>
      </c>
      <c r="F20" s="77">
        <v>12</v>
      </c>
      <c r="G20" s="78">
        <v>17</v>
      </c>
      <c r="H20" s="79" t="s">
        <v>50</v>
      </c>
    </row>
    <row r="21" spans="1:8" ht="15" x14ac:dyDescent="0.2">
      <c r="A21" s="76" t="s">
        <v>48</v>
      </c>
      <c r="B21" s="77">
        <v>11.5</v>
      </c>
      <c r="C21" s="78">
        <v>16.5</v>
      </c>
      <c r="D21" s="79" t="s">
        <v>50</v>
      </c>
      <c r="E21" s="76" t="s">
        <v>48</v>
      </c>
      <c r="F21" s="77">
        <v>11.5</v>
      </c>
      <c r="G21" s="78">
        <v>16.5</v>
      </c>
      <c r="H21" s="79" t="s">
        <v>50</v>
      </c>
    </row>
    <row r="22" spans="1:8" ht="15" x14ac:dyDescent="0.2">
      <c r="A22" s="76" t="s">
        <v>49</v>
      </c>
      <c r="B22" s="77">
        <v>11</v>
      </c>
      <c r="C22" s="78">
        <v>16</v>
      </c>
      <c r="D22" s="79" t="s">
        <v>50</v>
      </c>
      <c r="E22" s="76" t="s">
        <v>49</v>
      </c>
      <c r="F22" s="77">
        <v>11</v>
      </c>
      <c r="G22" s="78">
        <v>16</v>
      </c>
      <c r="H22" s="79" t="s">
        <v>50</v>
      </c>
    </row>
    <row r="23" spans="1:8" ht="13.5" customHeight="1" x14ac:dyDescent="0.2">
      <c r="A23" s="76" t="s">
        <v>57</v>
      </c>
      <c r="B23" s="301" t="s">
        <v>112</v>
      </c>
      <c r="C23" s="302"/>
      <c r="D23" s="303"/>
      <c r="E23" s="76" t="s">
        <v>57</v>
      </c>
      <c r="F23" s="301" t="s">
        <v>112</v>
      </c>
      <c r="G23" s="302"/>
      <c r="H23" s="303"/>
    </row>
    <row r="24" spans="1:8" ht="9" customHeight="1" x14ac:dyDescent="0.2">
      <c r="A24" s="304"/>
      <c r="B24" s="305"/>
      <c r="C24" s="305"/>
      <c r="D24" s="306"/>
      <c r="E24" s="304"/>
      <c r="F24" s="305"/>
      <c r="G24" s="305"/>
      <c r="H24" s="306"/>
    </row>
    <row r="25" spans="1:8" ht="19.5" customHeight="1" x14ac:dyDescent="0.2">
      <c r="A25" s="300" t="s">
        <v>51</v>
      </c>
      <c r="B25" s="300"/>
      <c r="C25" s="300"/>
      <c r="D25" s="300"/>
      <c r="E25" s="300" t="s">
        <v>51</v>
      </c>
      <c r="F25" s="300"/>
      <c r="G25" s="300"/>
      <c r="H25" s="300"/>
    </row>
    <row r="26" spans="1:8" ht="10.5" customHeight="1" x14ac:dyDescent="0.2">
      <c r="A26" s="307"/>
      <c r="B26" s="308"/>
      <c r="C26" s="308"/>
      <c r="D26" s="309"/>
      <c r="E26" s="307"/>
      <c r="F26" s="308"/>
      <c r="G26" s="308"/>
      <c r="H26" s="309"/>
    </row>
    <row r="27" spans="1:8" ht="15" x14ac:dyDescent="0.2">
      <c r="A27" s="43" t="s">
        <v>52</v>
      </c>
      <c r="B27" s="30"/>
      <c r="C27" s="43" t="s">
        <v>53</v>
      </c>
      <c r="D27" s="1"/>
      <c r="E27" s="43" t="s">
        <v>52</v>
      </c>
      <c r="F27" s="30"/>
      <c r="G27" s="43" t="s">
        <v>53</v>
      </c>
      <c r="H27" s="1"/>
    </row>
    <row r="28" spans="1:8" ht="10.5" customHeight="1" x14ac:dyDescent="0.2">
      <c r="A28" s="304"/>
      <c r="B28" s="305"/>
      <c r="C28" s="305"/>
      <c r="D28" s="306"/>
      <c r="E28" s="304"/>
      <c r="F28" s="305"/>
      <c r="G28" s="305"/>
      <c r="H28" s="306"/>
    </row>
    <row r="29" spans="1:8" ht="16.5" customHeight="1" x14ac:dyDescent="0.2">
      <c r="A29" s="300" t="s">
        <v>113</v>
      </c>
      <c r="B29" s="300"/>
      <c r="C29" s="300"/>
      <c r="D29" s="300"/>
      <c r="E29" s="300" t="s">
        <v>113</v>
      </c>
      <c r="F29" s="300"/>
      <c r="G29" s="300"/>
      <c r="H29" s="300"/>
    </row>
    <row r="30" spans="1:8" x14ac:dyDescent="0.2">
      <c r="A30" s="69" t="s">
        <v>525</v>
      </c>
      <c r="B30" s="5"/>
      <c r="C30" s="6"/>
      <c r="E30" s="69" t="s">
        <v>525</v>
      </c>
      <c r="F30" s="5"/>
      <c r="G30" s="6"/>
    </row>
    <row r="31" spans="1:8" x14ac:dyDescent="0.2">
      <c r="A31" t="s">
        <v>526</v>
      </c>
      <c r="B31" s="5"/>
      <c r="C31" s="6"/>
      <c r="E31" t="s">
        <v>526</v>
      </c>
      <c r="F31" s="5"/>
      <c r="G31" s="6"/>
    </row>
    <row r="32" spans="1:8" x14ac:dyDescent="0.2">
      <c r="A32" s="69" t="s">
        <v>527</v>
      </c>
      <c r="B32" s="5"/>
      <c r="C32" s="6"/>
      <c r="E32" s="69" t="s">
        <v>527</v>
      </c>
      <c r="F32" s="5"/>
      <c r="G32" s="6"/>
    </row>
    <row r="33" spans="1:3" x14ac:dyDescent="0.2">
      <c r="A33" s="4"/>
      <c r="B33" s="5"/>
      <c r="C33" s="6"/>
    </row>
    <row r="34" spans="1:3" x14ac:dyDescent="0.2">
      <c r="A34" s="4"/>
      <c r="B34" s="5"/>
      <c r="C34" s="6"/>
    </row>
    <row r="35" spans="1:3" x14ac:dyDescent="0.2">
      <c r="A35" s="4"/>
      <c r="B35" s="5"/>
      <c r="C35" s="6"/>
    </row>
    <row r="36" spans="1:3" x14ac:dyDescent="0.2">
      <c r="A36" s="7"/>
      <c r="B36" s="5"/>
      <c r="C36" s="6"/>
    </row>
    <row r="37" spans="1:3" x14ac:dyDescent="0.2">
      <c r="A37" s="7"/>
      <c r="B37" s="5"/>
      <c r="C37" s="6"/>
    </row>
    <row r="38" spans="1:3" x14ac:dyDescent="0.2">
      <c r="A38" s="4"/>
      <c r="B38" s="5"/>
      <c r="C38" s="6"/>
    </row>
    <row r="39" spans="1:3" x14ac:dyDescent="0.2">
      <c r="A39" s="4"/>
      <c r="B39" s="5"/>
      <c r="C39" s="6"/>
    </row>
    <row r="40" spans="1:3" x14ac:dyDescent="0.2">
      <c r="A40" s="4"/>
      <c r="B40" s="5"/>
      <c r="C40" s="6"/>
    </row>
    <row r="41" spans="1:3" x14ac:dyDescent="0.2">
      <c r="A41" s="4"/>
      <c r="B41" s="5"/>
      <c r="C41" s="6"/>
    </row>
    <row r="42" spans="1:3" x14ac:dyDescent="0.2">
      <c r="A42" s="4"/>
      <c r="B42" s="5"/>
      <c r="C42" s="6"/>
    </row>
    <row r="43" spans="1:3" x14ac:dyDescent="0.2">
      <c r="A43" s="4"/>
      <c r="B43" s="5"/>
      <c r="C43" s="6"/>
    </row>
    <row r="44" spans="1:3" x14ac:dyDescent="0.2">
      <c r="A44" s="4"/>
      <c r="B44" s="5"/>
      <c r="C44" s="6"/>
    </row>
    <row r="45" spans="1:3" x14ac:dyDescent="0.2">
      <c r="A45" s="4"/>
      <c r="B45" s="5"/>
      <c r="C45" s="6"/>
    </row>
    <row r="46" spans="1:3" x14ac:dyDescent="0.2">
      <c r="A46" s="4"/>
      <c r="B46" s="5"/>
      <c r="C46" s="6"/>
    </row>
    <row r="47" spans="1:3" x14ac:dyDescent="0.2">
      <c r="A47" s="4"/>
      <c r="B47" s="5"/>
      <c r="C47" s="6"/>
    </row>
    <row r="48" spans="1:3" x14ac:dyDescent="0.2">
      <c r="A48" s="4"/>
      <c r="B48" s="5"/>
      <c r="C48" s="6"/>
    </row>
    <row r="49" spans="1:3" x14ac:dyDescent="0.2">
      <c r="A49" s="4"/>
      <c r="B49" s="5"/>
      <c r="C49" s="6"/>
    </row>
    <row r="50" spans="1:3" x14ac:dyDescent="0.2">
      <c r="A50" s="4"/>
      <c r="B50" s="5"/>
      <c r="C50" s="6"/>
    </row>
    <row r="51" spans="1:3" x14ac:dyDescent="0.2">
      <c r="A51" s="4"/>
      <c r="B51" s="5"/>
      <c r="C51" s="6"/>
    </row>
    <row r="52" spans="1:3" x14ac:dyDescent="0.2">
      <c r="A52" s="4"/>
      <c r="B52" s="5"/>
      <c r="C52" s="6"/>
    </row>
    <row r="53" spans="1:3" x14ac:dyDescent="0.2">
      <c r="A53" s="7"/>
      <c r="B53" s="5"/>
      <c r="C53" s="6"/>
    </row>
    <row r="54" spans="1:3" x14ac:dyDescent="0.2">
      <c r="A54" s="7"/>
      <c r="B54" s="5"/>
      <c r="C54" s="6"/>
    </row>
    <row r="55" spans="1:3" x14ac:dyDescent="0.2">
      <c r="A55" s="4"/>
      <c r="B55" s="5"/>
      <c r="C55" s="6"/>
    </row>
    <row r="56" spans="1:3" x14ac:dyDescent="0.2">
      <c r="A56" s="4"/>
      <c r="B56" s="5"/>
      <c r="C56" s="6"/>
    </row>
    <row r="57" spans="1:3" x14ac:dyDescent="0.2">
      <c r="A57" s="4"/>
      <c r="B57" s="5"/>
      <c r="C57" s="6"/>
    </row>
    <row r="58" spans="1:3" x14ac:dyDescent="0.2">
      <c r="A58" s="4"/>
      <c r="B58" s="8"/>
      <c r="C58" s="6"/>
    </row>
    <row r="59" spans="1:3" x14ac:dyDescent="0.2">
      <c r="A59" s="4"/>
      <c r="B59" s="8"/>
      <c r="C59" s="6"/>
    </row>
    <row r="60" spans="1:3" x14ac:dyDescent="0.2">
      <c r="B60" s="5"/>
      <c r="C60" s="6"/>
    </row>
    <row r="61" spans="1:3" x14ac:dyDescent="0.2">
      <c r="A61" s="9"/>
      <c r="B61" s="8"/>
      <c r="C61" s="13"/>
    </row>
    <row r="62" spans="1:3" x14ac:dyDescent="0.2">
      <c r="A62" s="9"/>
      <c r="B62" s="5"/>
      <c r="C62" s="6"/>
    </row>
    <row r="64" spans="1:3" x14ac:dyDescent="0.2">
      <c r="A64" s="9"/>
    </row>
  </sheetData>
  <mergeCells count="22">
    <mergeCell ref="A1:D1"/>
    <mergeCell ref="A11:D11"/>
    <mergeCell ref="A5:D5"/>
    <mergeCell ref="A25:D25"/>
    <mergeCell ref="A29:D29"/>
    <mergeCell ref="A2:B2"/>
    <mergeCell ref="A3:B3"/>
    <mergeCell ref="A4:B4"/>
    <mergeCell ref="A6:B6"/>
    <mergeCell ref="B23:D23"/>
    <mergeCell ref="A24:D24"/>
    <mergeCell ref="A26:D26"/>
    <mergeCell ref="A28:D28"/>
    <mergeCell ref="A7:B7"/>
    <mergeCell ref="A8:B8"/>
    <mergeCell ref="A9:B9"/>
    <mergeCell ref="E29:H29"/>
    <mergeCell ref="F23:H23"/>
    <mergeCell ref="E24:H24"/>
    <mergeCell ref="E25:H25"/>
    <mergeCell ref="E26:H26"/>
    <mergeCell ref="E28:H28"/>
  </mergeCells>
  <printOptions horizontalCentered="1"/>
  <pageMargins left="0" right="0" top="1.5748031496062993" bottom="0.39370078740157483" header="0.11811023622047245" footer="0.51181102362204722"/>
  <pageSetup paperSize="9" orientation="portrait" r:id="rId1"/>
  <headerFooter scaleWithDoc="0">
    <oddHeader>&amp;C&amp;G</oddHead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56"/>
  <sheetViews>
    <sheetView topLeftCell="B3" workbookViewId="0">
      <selection activeCell="E12" sqref="E12:F12"/>
    </sheetView>
  </sheetViews>
  <sheetFormatPr defaultColWidth="8.85546875" defaultRowHeight="12.75" x14ac:dyDescent="0.2"/>
  <cols>
    <col min="1" max="1" width="34.85546875" customWidth="1"/>
    <col min="2" max="2" width="23.42578125" style="2" customWidth="1"/>
    <col min="3" max="3" width="18.28515625" style="12" bestFit="1" customWidth="1"/>
    <col min="4" max="4" width="9.140625" customWidth="1"/>
    <col min="5" max="5" width="18" customWidth="1"/>
    <col min="6" max="6" width="31.42578125" customWidth="1"/>
    <col min="8" max="8" width="32.42578125" customWidth="1"/>
  </cols>
  <sheetData>
    <row r="1" spans="1:21" ht="27" customHeight="1" x14ac:dyDescent="0.4">
      <c r="A1" s="279" t="s">
        <v>58</v>
      </c>
      <c r="B1" s="279"/>
      <c r="C1" s="279"/>
      <c r="D1" s="279"/>
      <c r="E1" s="279" t="s">
        <v>608</v>
      </c>
      <c r="F1" s="279"/>
      <c r="G1" s="279"/>
      <c r="H1" s="279"/>
      <c r="U1" s="270"/>
    </row>
    <row r="2" spans="1:21" ht="16.5" customHeight="1" x14ac:dyDescent="0.25">
      <c r="A2" s="321" t="s">
        <v>517</v>
      </c>
      <c r="B2" s="322"/>
      <c r="C2" s="322"/>
      <c r="D2" s="323"/>
      <c r="E2" s="321" t="s">
        <v>517</v>
      </c>
      <c r="F2" s="322"/>
      <c r="G2" s="322"/>
      <c r="H2" s="323"/>
    </row>
    <row r="3" spans="1:21" ht="18.75" customHeight="1" x14ac:dyDescent="0.2">
      <c r="A3" s="324" t="s">
        <v>59</v>
      </c>
      <c r="B3" s="325"/>
      <c r="C3" s="330">
        <v>1100</v>
      </c>
      <c r="D3" s="331"/>
      <c r="E3" s="324" t="s">
        <v>59</v>
      </c>
      <c r="F3" s="325"/>
      <c r="G3" s="330">
        <v>1300</v>
      </c>
      <c r="H3" s="331"/>
    </row>
    <row r="4" spans="1:21" ht="18.75" hidden="1" customHeight="1" x14ac:dyDescent="0.25">
      <c r="A4" s="321"/>
      <c r="B4" s="322"/>
      <c r="C4" s="322"/>
      <c r="D4" s="323"/>
      <c r="E4" s="321"/>
      <c r="F4" s="322"/>
      <c r="G4" s="322"/>
      <c r="H4" s="323"/>
    </row>
    <row r="5" spans="1:21" ht="18.75" hidden="1" customHeight="1" x14ac:dyDescent="0.2">
      <c r="A5" s="324"/>
      <c r="B5" s="325"/>
      <c r="C5" s="330"/>
      <c r="D5" s="331"/>
      <c r="E5" s="324"/>
      <c r="F5" s="325"/>
      <c r="G5" s="330"/>
      <c r="H5" s="331"/>
    </row>
    <row r="6" spans="1:21" ht="18.75" customHeight="1" x14ac:dyDescent="0.25">
      <c r="A6" s="321" t="s">
        <v>518</v>
      </c>
      <c r="B6" s="322"/>
      <c r="C6" s="322"/>
      <c r="D6" s="323"/>
      <c r="E6" s="321" t="s">
        <v>518</v>
      </c>
      <c r="F6" s="322"/>
      <c r="G6" s="322"/>
      <c r="H6" s="323"/>
    </row>
    <row r="7" spans="1:21" ht="18" customHeight="1" x14ac:dyDescent="0.2">
      <c r="A7" s="324" t="s">
        <v>59</v>
      </c>
      <c r="B7" s="325"/>
      <c r="C7" s="330">
        <v>2000</v>
      </c>
      <c r="D7" s="331"/>
      <c r="E7" s="324" t="s">
        <v>59</v>
      </c>
      <c r="F7" s="325"/>
      <c r="G7" s="330">
        <v>2200</v>
      </c>
      <c r="H7" s="331"/>
    </row>
    <row r="8" spans="1:21" ht="18.75" hidden="1" customHeight="1" x14ac:dyDescent="0.25">
      <c r="A8" s="321"/>
      <c r="B8" s="322"/>
      <c r="C8" s="322"/>
      <c r="D8" s="323"/>
      <c r="E8" s="321"/>
      <c r="F8" s="322"/>
      <c r="G8" s="322"/>
      <c r="H8" s="323"/>
    </row>
    <row r="9" spans="1:21" ht="18.75" hidden="1" customHeight="1" x14ac:dyDescent="0.2">
      <c r="A9" s="324"/>
      <c r="B9" s="325"/>
      <c r="C9" s="330"/>
      <c r="D9" s="331"/>
      <c r="E9" s="324"/>
      <c r="F9" s="325"/>
      <c r="G9" s="330"/>
      <c r="H9" s="331"/>
    </row>
    <row r="10" spans="1:21" ht="15" hidden="1" customHeight="1" x14ac:dyDescent="0.2">
      <c r="A10" s="294"/>
      <c r="B10" s="295"/>
      <c r="C10" s="11"/>
      <c r="D10" s="10"/>
      <c r="E10" s="294"/>
      <c r="F10" s="295"/>
      <c r="G10" s="11"/>
      <c r="H10" s="10"/>
    </row>
    <row r="11" spans="1:21" ht="9" customHeight="1" x14ac:dyDescent="0.2">
      <c r="A11" s="313"/>
      <c r="B11" s="314"/>
      <c r="C11" s="314"/>
      <c r="D11" s="315"/>
      <c r="E11" s="313"/>
      <c r="F11" s="314"/>
      <c r="G11" s="314"/>
      <c r="H11" s="315"/>
    </row>
    <row r="12" spans="1:21" ht="15.75" customHeight="1" x14ac:dyDescent="0.2">
      <c r="A12" s="324" t="s">
        <v>142</v>
      </c>
      <c r="B12" s="325"/>
      <c r="C12" s="83"/>
      <c r="D12" s="84"/>
      <c r="E12" s="324" t="s">
        <v>142</v>
      </c>
      <c r="F12" s="325"/>
      <c r="G12" s="83"/>
      <c r="H12" s="84"/>
    </row>
    <row r="13" spans="1:21" ht="15.75" customHeight="1" x14ac:dyDescent="0.2">
      <c r="A13" s="85" t="s">
        <v>143</v>
      </c>
      <c r="B13" s="80"/>
      <c r="C13" s="86" t="s">
        <v>145</v>
      </c>
      <c r="D13" s="86" t="s">
        <v>147</v>
      </c>
      <c r="E13" s="85" t="s">
        <v>143</v>
      </c>
      <c r="F13" s="80"/>
      <c r="G13" s="86" t="s">
        <v>145</v>
      </c>
      <c r="H13" s="86" t="s">
        <v>147</v>
      </c>
    </row>
    <row r="14" spans="1:21" ht="15" customHeight="1" x14ac:dyDescent="0.2">
      <c r="A14" s="85" t="s">
        <v>144</v>
      </c>
      <c r="B14" s="80"/>
      <c r="C14" s="86" t="s">
        <v>146</v>
      </c>
      <c r="D14" s="86" t="s">
        <v>148</v>
      </c>
      <c r="E14" s="85" t="s">
        <v>144</v>
      </c>
      <c r="F14" s="80"/>
      <c r="G14" s="86" t="s">
        <v>146</v>
      </c>
      <c r="H14" s="86" t="s">
        <v>148</v>
      </c>
    </row>
    <row r="15" spans="1:21" ht="10.5" hidden="1" customHeight="1" x14ac:dyDescent="0.2">
      <c r="A15" s="324"/>
      <c r="B15" s="325"/>
      <c r="C15" s="326"/>
      <c r="D15" s="327"/>
      <c r="E15" s="324"/>
      <c r="F15" s="325"/>
      <c r="G15" s="326"/>
      <c r="H15" s="327"/>
    </row>
    <row r="16" spans="1:21" ht="17.25" customHeight="1" x14ac:dyDescent="0.2">
      <c r="A16" s="328" t="s">
        <v>60</v>
      </c>
      <c r="B16" s="329"/>
      <c r="C16" s="319">
        <v>350</v>
      </c>
      <c r="D16" s="320"/>
      <c r="E16" s="328" t="s">
        <v>60</v>
      </c>
      <c r="F16" s="329"/>
      <c r="G16" s="319">
        <v>350</v>
      </c>
      <c r="H16" s="320"/>
    </row>
    <row r="17" spans="1:8" ht="17.25" customHeight="1" x14ac:dyDescent="0.2">
      <c r="A17" s="300"/>
      <c r="B17" s="300"/>
      <c r="C17" s="42"/>
      <c r="D17" s="10"/>
      <c r="E17" s="300"/>
      <c r="F17" s="300"/>
      <c r="G17" s="42"/>
      <c r="H17" s="10"/>
    </row>
    <row r="18" spans="1:8" ht="17.25" customHeight="1" x14ac:dyDescent="0.2">
      <c r="A18" s="15" t="s">
        <v>216</v>
      </c>
      <c r="B18" s="92"/>
      <c r="C18" s="319">
        <v>150</v>
      </c>
      <c r="D18" s="320"/>
      <c r="E18" s="15" t="s">
        <v>216</v>
      </c>
      <c r="F18" s="92"/>
      <c r="G18" s="319">
        <v>150</v>
      </c>
      <c r="H18" s="320"/>
    </row>
    <row r="19" spans="1:8" ht="9" customHeight="1" x14ac:dyDescent="0.2">
      <c r="A19" s="45"/>
      <c r="B19" s="46"/>
      <c r="C19" s="46"/>
      <c r="D19" s="47"/>
      <c r="E19" s="45"/>
      <c r="F19" s="46"/>
      <c r="G19" s="46"/>
      <c r="H19" s="47"/>
    </row>
    <row r="20" spans="1:8" ht="31.5" customHeight="1" x14ac:dyDescent="0.25">
      <c r="A20" s="321" t="s">
        <v>61</v>
      </c>
      <c r="B20" s="322"/>
      <c r="C20" s="322"/>
      <c r="D20" s="323"/>
      <c r="E20" s="321" t="s">
        <v>61</v>
      </c>
      <c r="F20" s="322"/>
      <c r="G20" s="322"/>
      <c r="H20" s="323"/>
    </row>
    <row r="21" spans="1:8" ht="7.5" customHeight="1" x14ac:dyDescent="0.2">
      <c r="A21" s="44"/>
      <c r="B21" s="52"/>
      <c r="C21" s="53"/>
      <c r="D21" s="41"/>
      <c r="E21" s="44"/>
      <c r="F21" s="52"/>
      <c r="G21" s="53"/>
      <c r="H21" s="41"/>
    </row>
    <row r="22" spans="1:8" ht="18.75" customHeight="1" x14ac:dyDescent="0.2">
      <c r="A22" s="54" t="s">
        <v>62</v>
      </c>
      <c r="B22" s="30"/>
      <c r="C22" s="3"/>
      <c r="D22" s="10"/>
      <c r="E22" s="54" t="s">
        <v>62</v>
      </c>
      <c r="F22" s="30"/>
      <c r="G22" s="3"/>
      <c r="H22" s="10"/>
    </row>
    <row r="23" spans="1:8" ht="15" customHeight="1" x14ac:dyDescent="0.2">
      <c r="A23" s="15" t="s">
        <v>64</v>
      </c>
      <c r="B23" s="51"/>
      <c r="C23" s="3">
        <v>95</v>
      </c>
      <c r="D23" s="10" t="s">
        <v>63</v>
      </c>
      <c r="E23" s="15" t="s">
        <v>64</v>
      </c>
      <c r="F23" s="51"/>
      <c r="G23" s="3">
        <v>95</v>
      </c>
      <c r="H23" s="10" t="s">
        <v>63</v>
      </c>
    </row>
    <row r="24" spans="1:8" ht="8.25" customHeight="1" x14ac:dyDescent="0.2">
      <c r="A24" s="304"/>
      <c r="B24" s="305"/>
      <c r="C24" s="305"/>
      <c r="D24" s="306"/>
      <c r="E24" s="304"/>
      <c r="F24" s="305"/>
      <c r="G24" s="305"/>
      <c r="H24" s="306"/>
    </row>
    <row r="25" spans="1:8" ht="15" x14ac:dyDescent="0.2">
      <c r="A25" s="294" t="s">
        <v>65</v>
      </c>
      <c r="B25" s="295"/>
      <c r="C25" s="90" t="s">
        <v>195</v>
      </c>
      <c r="D25" s="10" t="s">
        <v>63</v>
      </c>
      <c r="E25" s="294" t="s">
        <v>65</v>
      </c>
      <c r="F25" s="295"/>
      <c r="G25" s="90" t="s">
        <v>195</v>
      </c>
      <c r="H25" s="10" t="s">
        <v>63</v>
      </c>
    </row>
    <row r="26" spans="1:8" ht="9.75" customHeight="1" x14ac:dyDescent="0.2">
      <c r="A26" s="304"/>
      <c r="B26" s="305"/>
      <c r="C26" s="305"/>
      <c r="D26" s="306"/>
      <c r="E26" s="304"/>
      <c r="F26" s="305"/>
      <c r="G26" s="305"/>
      <c r="H26" s="306"/>
    </row>
    <row r="27" spans="1:8" ht="45" x14ac:dyDescent="0.2">
      <c r="A27" s="43" t="s">
        <v>66</v>
      </c>
      <c r="B27" s="30"/>
      <c r="C27" s="55" t="s">
        <v>67</v>
      </c>
      <c r="D27" s="43"/>
      <c r="E27" s="43" t="s">
        <v>66</v>
      </c>
      <c r="F27" s="30"/>
      <c r="G27" s="55" t="s">
        <v>67</v>
      </c>
      <c r="H27" s="43"/>
    </row>
    <row r="28" spans="1:8" ht="9.75" customHeight="1" x14ac:dyDescent="0.2">
      <c r="A28" s="304"/>
      <c r="B28" s="305"/>
      <c r="C28" s="305"/>
      <c r="D28" s="306"/>
      <c r="E28" s="304"/>
      <c r="F28" s="305"/>
      <c r="G28" s="305"/>
      <c r="H28" s="306"/>
    </row>
    <row r="29" spans="1:8" ht="15" x14ac:dyDescent="0.25">
      <c r="A29" s="317" t="s">
        <v>114</v>
      </c>
      <c r="B29" s="318"/>
      <c r="C29" s="3">
        <v>180</v>
      </c>
      <c r="D29" s="67" t="s">
        <v>106</v>
      </c>
      <c r="E29" s="317" t="s">
        <v>114</v>
      </c>
      <c r="F29" s="318"/>
      <c r="G29" s="3">
        <v>180</v>
      </c>
      <c r="H29" s="67" t="s">
        <v>106</v>
      </c>
    </row>
    <row r="30" spans="1:8" ht="11.25" customHeight="1" x14ac:dyDescent="0.2">
      <c r="A30" s="57"/>
      <c r="B30" s="58"/>
      <c r="C30" s="59"/>
      <c r="D30" s="60"/>
      <c r="E30" s="57"/>
      <c r="F30" s="58"/>
      <c r="G30" s="59"/>
      <c r="H30" s="60"/>
    </row>
    <row r="31" spans="1:8" ht="19.5" customHeight="1" x14ac:dyDescent="0.2">
      <c r="A31" s="57"/>
      <c r="B31" s="58"/>
      <c r="C31" s="59"/>
      <c r="D31" s="60"/>
      <c r="E31" s="57"/>
      <c r="F31" s="58"/>
      <c r="G31" s="59"/>
      <c r="H31" s="60"/>
    </row>
    <row r="32" spans="1:8" ht="56.25" customHeight="1" x14ac:dyDescent="0.4">
      <c r="A32" s="288" t="s">
        <v>196</v>
      </c>
      <c r="B32" s="279"/>
      <c r="C32" s="279"/>
      <c r="D32" s="279"/>
      <c r="E32" s="288" t="s">
        <v>196</v>
      </c>
      <c r="F32" s="279"/>
      <c r="G32" s="279"/>
      <c r="H32" s="279"/>
    </row>
    <row r="33" spans="1:4" ht="21" customHeight="1" x14ac:dyDescent="0.2">
      <c r="A33" s="332" t="s">
        <v>68</v>
      </c>
      <c r="B33" s="332"/>
      <c r="C33" s="332"/>
      <c r="D33" s="332"/>
    </row>
    <row r="34" spans="1:4" ht="14.25" x14ac:dyDescent="0.2">
      <c r="A34" s="50" t="s">
        <v>69</v>
      </c>
      <c r="B34" s="30"/>
      <c r="C34" s="56"/>
      <c r="D34" s="1"/>
    </row>
    <row r="35" spans="1:4" ht="14.25" x14ac:dyDescent="0.2">
      <c r="A35" s="50" t="s">
        <v>122</v>
      </c>
      <c r="B35" s="30"/>
      <c r="C35" s="56"/>
      <c r="D35" s="1"/>
    </row>
    <row r="36" spans="1:4" ht="14.25" x14ac:dyDescent="0.2">
      <c r="A36" s="50" t="s">
        <v>123</v>
      </c>
      <c r="B36" s="30"/>
      <c r="C36" s="56"/>
      <c r="D36" s="1"/>
    </row>
    <row r="37" spans="1:4" ht="14.25" x14ac:dyDescent="0.2">
      <c r="A37" s="50" t="s">
        <v>70</v>
      </c>
      <c r="B37" s="30"/>
      <c r="C37" s="56"/>
      <c r="D37" s="1"/>
    </row>
    <row r="38" spans="1:4" ht="14.25" x14ac:dyDescent="0.2">
      <c r="A38" s="50" t="s">
        <v>71</v>
      </c>
      <c r="B38" s="30"/>
      <c r="C38" s="56"/>
      <c r="D38" s="1"/>
    </row>
    <row r="39" spans="1:4" x14ac:dyDescent="0.2">
      <c r="A39" s="4"/>
      <c r="B39" s="5"/>
      <c r="C39" s="6"/>
    </row>
    <row r="40" spans="1:4" x14ac:dyDescent="0.2">
      <c r="A40" s="4"/>
      <c r="B40" s="5"/>
      <c r="C40" s="6"/>
    </row>
    <row r="41" spans="1:4" x14ac:dyDescent="0.2">
      <c r="A41" s="4"/>
      <c r="B41" s="5"/>
      <c r="C41" s="6"/>
    </row>
    <row r="42" spans="1:4" x14ac:dyDescent="0.2">
      <c r="A42" s="4"/>
      <c r="B42" s="5"/>
      <c r="C42" s="6"/>
    </row>
    <row r="43" spans="1:4" x14ac:dyDescent="0.2">
      <c r="A43" s="4"/>
      <c r="B43" s="5"/>
      <c r="C43" s="6"/>
    </row>
    <row r="44" spans="1:4" x14ac:dyDescent="0.2">
      <c r="A44" s="4"/>
      <c r="B44" s="5"/>
      <c r="C44" s="6"/>
    </row>
    <row r="45" spans="1:4" x14ac:dyDescent="0.2">
      <c r="A45" s="7"/>
      <c r="B45" s="5"/>
      <c r="C45" s="6"/>
    </row>
    <row r="46" spans="1:4" x14ac:dyDescent="0.2">
      <c r="A46" s="7"/>
      <c r="B46" s="5"/>
      <c r="C46" s="6"/>
    </row>
    <row r="47" spans="1:4" x14ac:dyDescent="0.2">
      <c r="A47" s="4"/>
      <c r="B47" s="5"/>
      <c r="C47" s="6"/>
    </row>
    <row r="48" spans="1:4" x14ac:dyDescent="0.2">
      <c r="A48" s="4"/>
      <c r="B48" s="5"/>
      <c r="C48" s="6"/>
    </row>
    <row r="49" spans="1:3" x14ac:dyDescent="0.2">
      <c r="A49" s="4"/>
      <c r="B49" s="5"/>
      <c r="C49" s="6"/>
    </row>
    <row r="50" spans="1:3" x14ac:dyDescent="0.2">
      <c r="A50" s="4"/>
      <c r="B50" s="8"/>
      <c r="C50" s="6"/>
    </row>
    <row r="51" spans="1:3" x14ac:dyDescent="0.2">
      <c r="A51" s="4"/>
      <c r="B51" s="8"/>
      <c r="C51" s="6"/>
    </row>
    <row r="52" spans="1:3" x14ac:dyDescent="0.2">
      <c r="B52" s="5"/>
      <c r="C52" s="6"/>
    </row>
    <row r="53" spans="1:3" x14ac:dyDescent="0.2">
      <c r="A53" s="9"/>
      <c r="B53" s="8"/>
      <c r="C53" s="13"/>
    </row>
    <row r="54" spans="1:3" x14ac:dyDescent="0.2">
      <c r="A54" s="9"/>
      <c r="B54" s="5"/>
      <c r="C54" s="6"/>
    </row>
    <row r="56" spans="1:3" x14ac:dyDescent="0.2">
      <c r="A56" s="9"/>
    </row>
  </sheetData>
  <mergeCells count="59">
    <mergeCell ref="C5:D5"/>
    <mergeCell ref="C7:D7"/>
    <mergeCell ref="C9:D9"/>
    <mergeCell ref="C16:D16"/>
    <mergeCell ref="A24:D24"/>
    <mergeCell ref="A17:B17"/>
    <mergeCell ref="A20:D20"/>
    <mergeCell ref="C18:D18"/>
    <mergeCell ref="A25:B25"/>
    <mergeCell ref="A33:D33"/>
    <mergeCell ref="A28:D28"/>
    <mergeCell ref="A32:D32"/>
    <mergeCell ref="A26:D26"/>
    <mergeCell ref="A29:B29"/>
    <mergeCell ref="A1:D1"/>
    <mergeCell ref="A3:B3"/>
    <mergeCell ref="A10:B10"/>
    <mergeCell ref="A11:D11"/>
    <mergeCell ref="A16:B16"/>
    <mergeCell ref="A2:D2"/>
    <mergeCell ref="A4:D4"/>
    <mergeCell ref="A5:B5"/>
    <mergeCell ref="A12:B12"/>
    <mergeCell ref="A15:B15"/>
    <mergeCell ref="C15:D15"/>
    <mergeCell ref="A6:D6"/>
    <mergeCell ref="A7:B7"/>
    <mergeCell ref="A8:D8"/>
    <mergeCell ref="A9:B9"/>
    <mergeCell ref="C3:D3"/>
    <mergeCell ref="E1:H1"/>
    <mergeCell ref="E2:H2"/>
    <mergeCell ref="E3:F3"/>
    <mergeCell ref="G3:H3"/>
    <mergeCell ref="E4:H4"/>
    <mergeCell ref="E5:F5"/>
    <mergeCell ref="G5:H5"/>
    <mergeCell ref="E6:H6"/>
    <mergeCell ref="E7:F7"/>
    <mergeCell ref="G7:H7"/>
    <mergeCell ref="E8:H8"/>
    <mergeCell ref="E9:F9"/>
    <mergeCell ref="G9:H9"/>
    <mergeCell ref="E10:F10"/>
    <mergeCell ref="E11:H11"/>
    <mergeCell ref="E12:F12"/>
    <mergeCell ref="E15:F15"/>
    <mergeCell ref="G15:H15"/>
    <mergeCell ref="E16:F16"/>
    <mergeCell ref="G16:H16"/>
    <mergeCell ref="E26:H26"/>
    <mergeCell ref="E28:H28"/>
    <mergeCell ref="E29:F29"/>
    <mergeCell ref="E32:H32"/>
    <mergeCell ref="E17:F17"/>
    <mergeCell ref="G18:H18"/>
    <mergeCell ref="E20:H20"/>
    <mergeCell ref="E24:H24"/>
    <mergeCell ref="E25:F25"/>
  </mergeCells>
  <printOptions horizontalCentered="1"/>
  <pageMargins left="0" right="0" top="1.5748031496062993" bottom="0.39370078740157483" header="0.11811023622047245" footer="0.51181102362204722"/>
  <pageSetup paperSize="9" orientation="portrait" r:id="rId1"/>
  <headerFooter scaleWithDoc="0">
    <oddHeader>&amp;C&amp;G</oddHead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D80E-518F-4012-A619-316E4B29FBB2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7"/>
  <sheetViews>
    <sheetView topLeftCell="A2" workbookViewId="0">
      <selection activeCell="B21" sqref="B21"/>
    </sheetView>
  </sheetViews>
  <sheetFormatPr defaultColWidth="8.85546875" defaultRowHeight="12.75" x14ac:dyDescent="0.2"/>
  <cols>
    <col min="1" max="1" width="61.28515625" bestFit="1" customWidth="1"/>
    <col min="2" max="2" width="17.140625" style="2" customWidth="1"/>
    <col min="3" max="3" width="10.42578125" style="12" customWidth="1"/>
    <col min="4" max="4" width="36.42578125" bestFit="1" customWidth="1"/>
    <col min="6" max="6" width="61.28515625" bestFit="1" customWidth="1"/>
    <col min="7" max="7" width="17.140625" customWidth="1"/>
    <col min="8" max="8" width="10.42578125" customWidth="1"/>
  </cols>
  <sheetData>
    <row r="1" spans="1:8" ht="32.25" customHeight="1" x14ac:dyDescent="0.4">
      <c r="A1" s="279" t="s">
        <v>330</v>
      </c>
      <c r="B1" s="279"/>
      <c r="C1" s="279"/>
    </row>
    <row r="2" spans="1:8" ht="16.5" customHeight="1" x14ac:dyDescent="0.4">
      <c r="A2" s="285"/>
      <c r="B2" s="286"/>
      <c r="C2" s="287"/>
    </row>
    <row r="3" spans="1:8" ht="15.75" x14ac:dyDescent="0.25">
      <c r="A3" s="39"/>
      <c r="B3" s="127" t="s">
        <v>238</v>
      </c>
      <c r="C3" s="128" t="s">
        <v>290</v>
      </c>
      <c r="F3" s="9"/>
      <c r="G3" s="145"/>
      <c r="H3" s="146"/>
    </row>
    <row r="4" spans="1:8" ht="21.75" customHeight="1" x14ac:dyDescent="0.2">
      <c r="A4" s="118" t="s">
        <v>331</v>
      </c>
      <c r="B4" s="130"/>
      <c r="C4" s="124"/>
      <c r="F4" s="9"/>
      <c r="G4" s="145"/>
      <c r="H4" s="146"/>
    </row>
    <row r="5" spans="1:8" ht="21.75" customHeight="1" x14ac:dyDescent="0.2">
      <c r="A5" s="118" t="s">
        <v>418</v>
      </c>
      <c r="B5" s="130"/>
      <c r="C5" s="124">
        <v>800</v>
      </c>
      <c r="F5" s="9"/>
      <c r="G5" s="145"/>
      <c r="H5" s="146"/>
    </row>
    <row r="6" spans="1:8" ht="21.75" customHeight="1" x14ac:dyDescent="0.2">
      <c r="A6" s="118" t="s">
        <v>419</v>
      </c>
      <c r="B6" s="130"/>
      <c r="C6" s="124">
        <v>250</v>
      </c>
      <c r="F6" s="9"/>
      <c r="G6" s="145"/>
      <c r="H6" s="146"/>
    </row>
    <row r="7" spans="1:8" ht="29.25" customHeight="1" x14ac:dyDescent="0.2">
      <c r="A7" s="68" t="s">
        <v>380</v>
      </c>
      <c r="B7" s="131">
        <f>(1.8*2)+(1.56*2)+((1971/900)*4)</f>
        <v>15.48</v>
      </c>
      <c r="C7" s="122"/>
      <c r="D7" s="69"/>
      <c r="F7" s="147"/>
      <c r="G7" s="148"/>
      <c r="H7" s="146"/>
    </row>
    <row r="8" spans="1:8" ht="16.5" customHeight="1" x14ac:dyDescent="0.2">
      <c r="A8" s="68" t="s">
        <v>332</v>
      </c>
      <c r="B8" s="131">
        <f>(1.353*4)*2</f>
        <v>10.824</v>
      </c>
      <c r="C8" s="122"/>
      <c r="D8" s="69"/>
      <c r="F8" s="147"/>
      <c r="G8" s="148"/>
      <c r="H8" s="146"/>
    </row>
    <row r="9" spans="1:8" ht="29.25" customHeight="1" x14ac:dyDescent="0.2">
      <c r="A9" s="68" t="s">
        <v>381</v>
      </c>
      <c r="B9" s="132">
        <f>(75*1.7)</f>
        <v>127.5</v>
      </c>
      <c r="C9" s="122"/>
      <c r="D9" s="69"/>
      <c r="F9" s="147"/>
      <c r="G9" s="149"/>
      <c r="H9" s="146"/>
    </row>
    <row r="10" spans="1:8" ht="16.5" customHeight="1" x14ac:dyDescent="0.2">
      <c r="A10" s="68" t="s">
        <v>333</v>
      </c>
      <c r="B10" s="132">
        <f>(27.5*4)*2</f>
        <v>220</v>
      </c>
      <c r="C10" s="122"/>
      <c r="D10" s="69"/>
      <c r="F10" s="147"/>
      <c r="G10" s="149"/>
      <c r="H10" s="146"/>
    </row>
    <row r="11" spans="1:8" ht="16.5" customHeight="1" x14ac:dyDescent="0.2">
      <c r="A11" s="68" t="s">
        <v>417</v>
      </c>
      <c r="B11" s="132">
        <v>110</v>
      </c>
      <c r="C11" s="122"/>
      <c r="D11" s="69"/>
      <c r="F11" s="147"/>
      <c r="G11" s="149"/>
      <c r="H11" s="146"/>
    </row>
    <row r="12" spans="1:8" ht="16.5" customHeight="1" x14ac:dyDescent="0.2">
      <c r="A12" s="160" t="s">
        <v>426</v>
      </c>
      <c r="B12" s="200">
        <f>SUM(B7:B11)</f>
        <v>483.80399999999997</v>
      </c>
      <c r="C12" s="122"/>
      <c r="D12" s="69"/>
      <c r="F12" s="147"/>
      <c r="G12" s="149"/>
      <c r="H12" s="146"/>
    </row>
    <row r="13" spans="1:8" ht="16.5" customHeight="1" x14ac:dyDescent="0.2">
      <c r="A13" s="68" t="s">
        <v>437</v>
      </c>
      <c r="B13" s="132">
        <f>((B12)*10)/100</f>
        <v>48.380400000000002</v>
      </c>
      <c r="C13" s="122"/>
      <c r="D13" s="69"/>
      <c r="F13" s="69"/>
      <c r="G13" s="146"/>
      <c r="H13" s="146"/>
    </row>
    <row r="14" spans="1:8" ht="16.5" customHeight="1" x14ac:dyDescent="0.2">
      <c r="A14" s="10" t="s">
        <v>438</v>
      </c>
      <c r="B14" s="122">
        <f>((B12)*5)/100</f>
        <v>24.190200000000001</v>
      </c>
      <c r="C14" s="122"/>
      <c r="F14" s="150"/>
      <c r="G14" s="151"/>
      <c r="H14" s="146"/>
    </row>
    <row r="15" spans="1:8" ht="16.5" customHeight="1" x14ac:dyDescent="0.2">
      <c r="A15" s="135" t="s">
        <v>324</v>
      </c>
      <c r="B15" s="136">
        <f>SUM(B12:B14)</f>
        <v>556.37459999999999</v>
      </c>
      <c r="C15" s="122"/>
      <c r="D15" s="140"/>
      <c r="F15" s="150"/>
      <c r="G15" s="151"/>
      <c r="H15" s="146"/>
    </row>
    <row r="16" spans="1:8" ht="16.5" customHeight="1" x14ac:dyDescent="0.2">
      <c r="A16" s="10" t="s">
        <v>276</v>
      </c>
      <c r="B16" s="129">
        <f>(C5+C6)*10%</f>
        <v>105</v>
      </c>
      <c r="C16" s="122"/>
      <c r="D16" s="140"/>
      <c r="F16" s="150"/>
      <c r="G16" s="151"/>
      <c r="H16" s="146"/>
    </row>
    <row r="17" spans="1:8" ht="16.5" customHeight="1" x14ac:dyDescent="0.2">
      <c r="A17" s="141" t="s">
        <v>428</v>
      </c>
      <c r="B17" s="129"/>
      <c r="C17" s="122"/>
      <c r="D17" s="140"/>
      <c r="F17" s="150"/>
      <c r="G17" s="151"/>
      <c r="H17" s="146"/>
    </row>
    <row r="18" spans="1:8" ht="16.5" customHeight="1" x14ac:dyDescent="0.2">
      <c r="A18" s="135" t="s">
        <v>427</v>
      </c>
      <c r="B18" s="136">
        <f>B15+B16+B17</f>
        <v>661.37459999999999</v>
      </c>
      <c r="C18" s="122"/>
      <c r="D18" s="140"/>
      <c r="F18" s="150"/>
      <c r="G18" s="151"/>
      <c r="H18" s="146"/>
    </row>
    <row r="19" spans="1:8" ht="16.5" customHeight="1" x14ac:dyDescent="0.2">
      <c r="A19" s="139" t="s">
        <v>429</v>
      </c>
      <c r="B19" s="138">
        <f>C5-B18</f>
        <v>138.62540000000001</v>
      </c>
      <c r="C19" s="122"/>
      <c r="F19" s="147"/>
      <c r="G19" s="152"/>
      <c r="H19" s="146"/>
    </row>
    <row r="20" spans="1:8" ht="9" customHeight="1" x14ac:dyDescent="0.25">
      <c r="A20" s="119"/>
      <c r="B20" s="137"/>
      <c r="C20" s="122"/>
    </row>
    <row r="21" spans="1:8" ht="17.25" customHeight="1" x14ac:dyDescent="0.2">
      <c r="A21" s="175" t="s">
        <v>441</v>
      </c>
      <c r="B21" s="98">
        <f>B18*130%</f>
        <v>859.78697999999997</v>
      </c>
      <c r="C21" s="122"/>
    </row>
    <row r="22" spans="1:8" ht="17.25" customHeight="1" x14ac:dyDescent="0.2">
      <c r="A22" s="175"/>
      <c r="B22" s="98"/>
      <c r="C22" s="122"/>
    </row>
    <row r="23" spans="1:8" ht="16.5" customHeight="1" x14ac:dyDescent="0.2">
      <c r="A23" s="178" t="s">
        <v>337</v>
      </c>
      <c r="B23" s="127" t="s">
        <v>238</v>
      </c>
      <c r="C23" s="128" t="s">
        <v>290</v>
      </c>
      <c r="F23" s="9"/>
    </row>
    <row r="24" spans="1:8" ht="16.5" customHeight="1" x14ac:dyDescent="0.2">
      <c r="A24" s="118" t="s">
        <v>334</v>
      </c>
      <c r="B24" s="130"/>
      <c r="C24" s="124">
        <v>800</v>
      </c>
      <c r="F24" s="9"/>
    </row>
    <row r="25" spans="1:8" ht="16.5" customHeight="1" x14ac:dyDescent="0.2">
      <c r="A25" s="118" t="s">
        <v>419</v>
      </c>
      <c r="B25" s="130"/>
      <c r="C25" s="124">
        <v>250</v>
      </c>
      <c r="F25" s="9"/>
    </row>
    <row r="26" spans="1:8" ht="16.5" customHeight="1" x14ac:dyDescent="0.2">
      <c r="A26" s="118" t="s">
        <v>335</v>
      </c>
      <c r="B26" s="130"/>
      <c r="C26" s="124">
        <v>180</v>
      </c>
      <c r="F26" s="9"/>
    </row>
    <row r="27" spans="1:8" ht="16.5" customHeight="1" x14ac:dyDescent="0.2">
      <c r="A27" s="118" t="s">
        <v>336</v>
      </c>
      <c r="B27" s="130"/>
      <c r="C27" s="124">
        <f>85*6</f>
        <v>510</v>
      </c>
      <c r="F27" s="9"/>
    </row>
    <row r="28" spans="1:8" ht="30" customHeight="1" x14ac:dyDescent="0.2">
      <c r="A28" s="68" t="s">
        <v>382</v>
      </c>
      <c r="B28" s="131">
        <f>(1.8*2)+(1.56*2)+((1971/900)*5)</f>
        <v>17.670000000000002</v>
      </c>
      <c r="C28" s="122"/>
      <c r="D28" s="69"/>
      <c r="F28" s="147"/>
    </row>
    <row r="29" spans="1:8" ht="16.5" customHeight="1" x14ac:dyDescent="0.2">
      <c r="A29" s="68" t="s">
        <v>332</v>
      </c>
      <c r="B29" s="131">
        <f>(1.353*4)*2</f>
        <v>10.824</v>
      </c>
      <c r="C29" s="122"/>
      <c r="D29" s="69"/>
      <c r="F29" s="147"/>
    </row>
    <row r="30" spans="1:8" ht="28.5" customHeight="1" x14ac:dyDescent="0.2">
      <c r="A30" s="68" t="s">
        <v>381</v>
      </c>
      <c r="B30" s="132">
        <f>(75*1.7)</f>
        <v>127.5</v>
      </c>
      <c r="C30" s="122"/>
      <c r="D30" s="69"/>
      <c r="F30" s="147"/>
    </row>
    <row r="31" spans="1:8" ht="15" customHeight="1" x14ac:dyDescent="0.2">
      <c r="A31" s="68" t="s">
        <v>333</v>
      </c>
      <c r="B31" s="132">
        <f>(27.5*4)*2</f>
        <v>220</v>
      </c>
      <c r="C31" s="122"/>
      <c r="D31" s="69"/>
      <c r="F31" s="147"/>
    </row>
    <row r="32" spans="1:8" ht="15" customHeight="1" x14ac:dyDescent="0.2">
      <c r="A32" s="68" t="s">
        <v>383</v>
      </c>
      <c r="B32" s="132">
        <f>(27.5*2)+6</f>
        <v>61</v>
      </c>
      <c r="C32" s="122"/>
      <c r="D32" s="69"/>
      <c r="F32" s="147"/>
    </row>
    <row r="33" spans="1:6" ht="15" customHeight="1" x14ac:dyDescent="0.2">
      <c r="A33" s="68" t="s">
        <v>384</v>
      </c>
      <c r="B33" s="132">
        <f>(27.5*2)+(25*4)</f>
        <v>155</v>
      </c>
      <c r="C33" s="122"/>
      <c r="D33" s="69"/>
      <c r="F33" s="147"/>
    </row>
    <row r="34" spans="1:6" ht="15" customHeight="1" x14ac:dyDescent="0.2">
      <c r="A34" s="160" t="s">
        <v>426</v>
      </c>
      <c r="B34" s="200">
        <f>SUM(B28:B33)</f>
        <v>591.99400000000003</v>
      </c>
      <c r="C34" s="122"/>
      <c r="D34" s="69"/>
      <c r="F34" s="147"/>
    </row>
    <row r="35" spans="1:6" ht="15" customHeight="1" x14ac:dyDescent="0.2">
      <c r="A35" s="68" t="s">
        <v>437</v>
      </c>
      <c r="B35" s="132">
        <f>((B34)*10)/100</f>
        <v>59.199400000000004</v>
      </c>
      <c r="C35" s="122"/>
      <c r="D35" s="69"/>
      <c r="F35" s="69"/>
    </row>
    <row r="36" spans="1:6" ht="15" customHeight="1" x14ac:dyDescent="0.2">
      <c r="A36" s="10" t="s">
        <v>438</v>
      </c>
      <c r="B36" s="122">
        <f>((B34)*5)/100</f>
        <v>29.599700000000002</v>
      </c>
      <c r="C36" s="122"/>
      <c r="F36" s="150"/>
    </row>
    <row r="37" spans="1:6" ht="15" customHeight="1" x14ac:dyDescent="0.2">
      <c r="A37" s="135" t="s">
        <v>324</v>
      </c>
      <c r="B37" s="136">
        <f>SUM(B34:B36)</f>
        <v>680.79309999999998</v>
      </c>
      <c r="C37" s="122"/>
      <c r="D37" s="140"/>
      <c r="F37" s="150"/>
    </row>
    <row r="38" spans="1:6" ht="15" customHeight="1" x14ac:dyDescent="0.2">
      <c r="A38" s="10" t="s">
        <v>276</v>
      </c>
      <c r="B38" s="129">
        <f>(C24+C25+C26+C27)*10%</f>
        <v>174</v>
      </c>
      <c r="C38" s="122"/>
      <c r="D38" s="140"/>
      <c r="F38" s="150"/>
    </row>
    <row r="39" spans="1:6" ht="15" customHeight="1" x14ac:dyDescent="0.2">
      <c r="A39" s="141" t="s">
        <v>428</v>
      </c>
      <c r="B39" s="129"/>
      <c r="C39" s="122"/>
      <c r="D39" s="140"/>
      <c r="F39" s="150"/>
    </row>
    <row r="40" spans="1:6" ht="15" customHeight="1" x14ac:dyDescent="0.2">
      <c r="A40" s="199" t="s">
        <v>427</v>
      </c>
      <c r="B40" s="161">
        <f>SUM(B37:B39)</f>
        <v>854.79309999999998</v>
      </c>
      <c r="C40" s="122"/>
      <c r="D40" s="140"/>
      <c r="F40" s="150"/>
    </row>
    <row r="41" spans="1:6" ht="15" customHeight="1" x14ac:dyDescent="0.2">
      <c r="A41" s="139" t="s">
        <v>429</v>
      </c>
      <c r="B41" s="138">
        <f>(C24+C25+C26+C27)-B40</f>
        <v>885.20690000000002</v>
      </c>
      <c r="C41" s="122"/>
      <c r="F41" s="147"/>
    </row>
    <row r="42" spans="1:6" ht="9" customHeight="1" x14ac:dyDescent="0.25">
      <c r="A42" s="119"/>
      <c r="B42" s="137"/>
      <c r="C42" s="122"/>
    </row>
    <row r="43" spans="1:6" ht="15" customHeight="1" x14ac:dyDescent="0.2">
      <c r="A43" s="175" t="s">
        <v>441</v>
      </c>
      <c r="B43" s="98">
        <f>B40*130%</f>
        <v>1111.2310299999999</v>
      </c>
      <c r="C43" s="10"/>
    </row>
    <row r="44" spans="1:6" ht="15" customHeight="1" x14ac:dyDescent="0.2">
      <c r="A44" s="4"/>
      <c r="B44" s="5"/>
      <c r="C44" s="6"/>
    </row>
    <row r="45" spans="1:6" ht="15" customHeight="1" x14ac:dyDescent="0.2">
      <c r="A45" s="4"/>
      <c r="B45" s="5"/>
      <c r="C45" s="6"/>
    </row>
    <row r="46" spans="1:6" ht="15" customHeight="1" x14ac:dyDescent="0.2">
      <c r="A46" s="7"/>
      <c r="B46" s="5"/>
      <c r="C46" s="6"/>
    </row>
    <row r="47" spans="1:6" ht="15" customHeight="1" x14ac:dyDescent="0.2">
      <c r="A47" s="7"/>
      <c r="B47" s="5"/>
      <c r="C47" s="6"/>
    </row>
    <row r="48" spans="1:6" ht="15" customHeight="1" x14ac:dyDescent="0.2">
      <c r="A48" s="4"/>
      <c r="B48" s="5"/>
      <c r="C48" s="6"/>
    </row>
    <row r="49" spans="1:3" ht="15" customHeight="1" x14ac:dyDescent="0.2">
      <c r="A49" s="4"/>
      <c r="B49" s="5"/>
      <c r="C49" s="6"/>
    </row>
    <row r="50" spans="1:3" ht="15" customHeight="1" x14ac:dyDescent="0.2">
      <c r="A50" s="4"/>
      <c r="B50" s="5"/>
      <c r="C50" s="6"/>
    </row>
    <row r="51" spans="1:3" ht="15" customHeight="1" x14ac:dyDescent="0.2">
      <c r="A51" s="4"/>
      <c r="B51" s="5"/>
      <c r="C51" s="6"/>
    </row>
    <row r="52" spans="1:3" ht="15" customHeight="1" x14ac:dyDescent="0.2">
      <c r="A52" s="4"/>
      <c r="B52" s="5"/>
      <c r="C52" s="6"/>
    </row>
    <row r="53" spans="1:3" ht="15" customHeight="1" x14ac:dyDescent="0.2">
      <c r="A53" s="4"/>
      <c r="B53" s="5"/>
      <c r="C53" s="6"/>
    </row>
    <row r="54" spans="1:3" ht="15" customHeight="1" x14ac:dyDescent="0.2">
      <c r="A54" s="4"/>
      <c r="B54" s="5"/>
      <c r="C54" s="6"/>
    </row>
    <row r="55" spans="1:3" ht="15" customHeight="1" x14ac:dyDescent="0.2">
      <c r="A55" s="4"/>
      <c r="B55" s="5"/>
      <c r="C55" s="6"/>
    </row>
    <row r="56" spans="1:3" ht="15" customHeight="1" x14ac:dyDescent="0.2">
      <c r="A56" s="4"/>
      <c r="B56" s="5"/>
      <c r="C56" s="6"/>
    </row>
    <row r="57" spans="1:3" ht="15" customHeight="1" x14ac:dyDescent="0.2">
      <c r="A57" s="4"/>
      <c r="B57" s="5"/>
      <c r="C57" s="6"/>
    </row>
    <row r="58" spans="1:3" ht="15" customHeight="1" x14ac:dyDescent="0.2">
      <c r="A58" s="4"/>
      <c r="B58" s="5"/>
      <c r="C58" s="6"/>
    </row>
    <row r="59" spans="1:3" ht="15" customHeight="1" x14ac:dyDescent="0.2">
      <c r="A59" s="7"/>
      <c r="B59" s="5"/>
      <c r="C59" s="6"/>
    </row>
    <row r="60" spans="1:3" ht="15" customHeight="1" x14ac:dyDescent="0.2">
      <c r="A60" s="7"/>
      <c r="B60" s="5"/>
      <c r="C60" s="6"/>
    </row>
    <row r="61" spans="1:3" ht="15" customHeight="1" x14ac:dyDescent="0.2">
      <c r="A61" s="4"/>
      <c r="B61" s="5"/>
      <c r="C61" s="6"/>
    </row>
    <row r="62" spans="1:3" ht="15" customHeight="1" x14ac:dyDescent="0.2">
      <c r="A62" s="4"/>
      <c r="B62" s="5"/>
      <c r="C62" s="6"/>
    </row>
    <row r="63" spans="1:3" ht="15" customHeight="1" x14ac:dyDescent="0.2">
      <c r="A63" s="4"/>
      <c r="B63" s="5"/>
      <c r="C63" s="6"/>
    </row>
    <row r="64" spans="1:3" ht="16.5" customHeight="1" x14ac:dyDescent="0.2">
      <c r="A64" s="4"/>
      <c r="B64" s="5"/>
      <c r="C64" s="6"/>
    </row>
    <row r="65" spans="1:3" x14ac:dyDescent="0.2">
      <c r="A65" s="4"/>
      <c r="B65" s="5"/>
      <c r="C65" s="6"/>
    </row>
    <row r="66" spans="1:3" x14ac:dyDescent="0.2">
      <c r="A66" s="4"/>
      <c r="B66" s="5"/>
      <c r="C66" s="6"/>
    </row>
    <row r="67" spans="1:3" x14ac:dyDescent="0.2">
      <c r="A67" s="4"/>
      <c r="B67" s="5"/>
      <c r="C67" s="6"/>
    </row>
    <row r="68" spans="1:3" x14ac:dyDescent="0.2">
      <c r="A68" s="4"/>
      <c r="B68" s="5"/>
      <c r="C68" s="6"/>
    </row>
    <row r="69" spans="1:3" ht="60.75" customHeight="1" x14ac:dyDescent="0.2">
      <c r="A69" s="4"/>
      <c r="B69" s="5"/>
      <c r="C69" s="6"/>
    </row>
    <row r="70" spans="1:3" ht="15.75" customHeight="1" x14ac:dyDescent="0.2">
      <c r="A70" s="4"/>
      <c r="B70" s="5"/>
      <c r="C70" s="6"/>
    </row>
    <row r="71" spans="1:3" x14ac:dyDescent="0.2">
      <c r="A71" s="4"/>
      <c r="B71" s="5"/>
      <c r="C71" s="6"/>
    </row>
    <row r="72" spans="1:3" x14ac:dyDescent="0.2">
      <c r="A72" s="4"/>
      <c r="B72" s="5"/>
      <c r="C72" s="6"/>
    </row>
    <row r="73" spans="1:3" x14ac:dyDescent="0.2">
      <c r="A73" s="4"/>
      <c r="B73" s="5"/>
      <c r="C73" s="6"/>
    </row>
    <row r="74" spans="1:3" x14ac:dyDescent="0.2">
      <c r="A74" s="4"/>
      <c r="B74" s="5"/>
      <c r="C74" s="6"/>
    </row>
    <row r="75" spans="1:3" x14ac:dyDescent="0.2">
      <c r="A75" s="4"/>
      <c r="B75" s="5"/>
      <c r="C75" s="6"/>
    </row>
    <row r="76" spans="1:3" x14ac:dyDescent="0.2">
      <c r="A76" s="7"/>
      <c r="B76" s="5"/>
      <c r="C76" s="6"/>
    </row>
    <row r="77" spans="1:3" x14ac:dyDescent="0.2">
      <c r="A77" s="7"/>
      <c r="B77" s="5"/>
      <c r="C77" s="6"/>
    </row>
    <row r="78" spans="1:3" x14ac:dyDescent="0.2">
      <c r="A78" s="4"/>
      <c r="B78" s="5"/>
      <c r="C78" s="6"/>
    </row>
    <row r="79" spans="1:3" x14ac:dyDescent="0.2">
      <c r="A79" s="4"/>
      <c r="B79" s="5"/>
      <c r="C79" s="6"/>
    </row>
    <row r="80" spans="1:3" x14ac:dyDescent="0.2">
      <c r="A80" s="4"/>
      <c r="B80" s="5"/>
      <c r="C80" s="6"/>
    </row>
    <row r="81" spans="1:3" x14ac:dyDescent="0.2">
      <c r="A81" s="4"/>
      <c r="B81" s="8"/>
      <c r="C81" s="6"/>
    </row>
    <row r="82" spans="1:3" x14ac:dyDescent="0.2">
      <c r="A82" s="4"/>
      <c r="B82" s="8"/>
      <c r="C82" s="6"/>
    </row>
    <row r="83" spans="1:3" x14ac:dyDescent="0.2">
      <c r="B83" s="5"/>
      <c r="C83" s="6"/>
    </row>
    <row r="84" spans="1:3" x14ac:dyDescent="0.2">
      <c r="A84" s="9"/>
      <c r="B84" s="8"/>
      <c r="C84" s="13"/>
    </row>
    <row r="85" spans="1:3" x14ac:dyDescent="0.2">
      <c r="A85" s="9"/>
      <c r="B85" s="5"/>
      <c r="C85" s="6"/>
    </row>
    <row r="87" spans="1:3" x14ac:dyDescent="0.2">
      <c r="A87" s="9"/>
    </row>
  </sheetData>
  <mergeCells count="2">
    <mergeCell ref="A1:C1"/>
    <mergeCell ref="A2:C2"/>
  </mergeCells>
  <printOptions horizontalCentered="1"/>
  <pageMargins left="0.19685039370078741" right="0.11811023622047245" top="1.5354330708661419" bottom="0.74803149606299213" header="0.31496062992125984" footer="0.31496062992125984"/>
  <pageSetup paperSize="9" orientation="portrait" r:id="rId1"/>
  <headerFooter scaleWithDoc="0">
    <oddHeader>&amp;C&amp;G</oddHead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1"/>
  <sheetViews>
    <sheetView workbookViewId="0">
      <selection activeCell="H13" sqref="H13"/>
    </sheetView>
  </sheetViews>
  <sheetFormatPr defaultColWidth="8.85546875" defaultRowHeight="12.75" x14ac:dyDescent="0.2"/>
  <cols>
    <col min="1" max="1" width="34.85546875" customWidth="1"/>
    <col min="2" max="2" width="24.42578125" style="2" customWidth="1"/>
    <col min="3" max="3" width="18.28515625" style="12" bestFit="1" customWidth="1"/>
    <col min="4" max="4" width="11.140625" customWidth="1"/>
    <col min="5" max="5" width="26.28515625" customWidth="1"/>
    <col min="6" max="7" width="32.5703125" customWidth="1"/>
    <col min="8" max="8" width="25.85546875" customWidth="1"/>
  </cols>
  <sheetData>
    <row r="1" spans="1:8" ht="27" customHeight="1" x14ac:dyDescent="0.4">
      <c r="A1" s="279" t="s">
        <v>611</v>
      </c>
      <c r="B1" s="279"/>
      <c r="C1" s="279"/>
      <c r="D1" s="279"/>
      <c r="E1" s="279" t="s">
        <v>610</v>
      </c>
      <c r="F1" s="279"/>
      <c r="G1" s="279"/>
      <c r="H1" s="279"/>
    </row>
    <row r="2" spans="1:8" ht="16.5" customHeight="1" x14ac:dyDescent="0.2">
      <c r="A2" s="299" t="s">
        <v>72</v>
      </c>
      <c r="B2" s="298"/>
      <c r="C2" s="14"/>
      <c r="D2" s="10"/>
      <c r="E2" s="299" t="s">
        <v>72</v>
      </c>
      <c r="F2" s="298"/>
      <c r="G2" s="14"/>
      <c r="H2" s="10"/>
    </row>
    <row r="3" spans="1:8" ht="16.5" customHeight="1" x14ac:dyDescent="0.2">
      <c r="A3" s="298" t="s">
        <v>77</v>
      </c>
      <c r="B3" s="298"/>
      <c r="C3" s="42"/>
      <c r="D3" s="10"/>
      <c r="E3" s="298" t="s">
        <v>77</v>
      </c>
      <c r="F3" s="298"/>
      <c r="G3" s="42"/>
      <c r="H3" s="10"/>
    </row>
    <row r="4" spans="1:8" ht="25.5" x14ac:dyDescent="0.2">
      <c r="A4" s="337" t="s">
        <v>278</v>
      </c>
      <c r="B4" s="338"/>
      <c r="C4" s="42">
        <v>60</v>
      </c>
      <c r="D4" s="68" t="s">
        <v>279</v>
      </c>
      <c r="E4" s="337" t="s">
        <v>278</v>
      </c>
      <c r="F4" s="338"/>
      <c r="G4" s="42">
        <v>190</v>
      </c>
      <c r="H4" s="68" t="s">
        <v>277</v>
      </c>
    </row>
    <row r="5" spans="1:8" ht="25.5" x14ac:dyDescent="0.2">
      <c r="A5" s="300" t="s">
        <v>217</v>
      </c>
      <c r="B5" s="300"/>
      <c r="C5" s="42">
        <v>160</v>
      </c>
      <c r="D5" s="68" t="s">
        <v>277</v>
      </c>
      <c r="E5" s="300" t="s">
        <v>217</v>
      </c>
      <c r="F5" s="300"/>
      <c r="G5" s="42">
        <v>2400</v>
      </c>
      <c r="H5" s="68" t="s">
        <v>609</v>
      </c>
    </row>
    <row r="6" spans="1:8" ht="16.5" customHeight="1" x14ac:dyDescent="0.2">
      <c r="A6" s="300" t="s">
        <v>218</v>
      </c>
      <c r="B6" s="300"/>
      <c r="C6" s="93" t="s">
        <v>195</v>
      </c>
      <c r="D6" s="10"/>
      <c r="E6" s="300" t="s">
        <v>218</v>
      </c>
      <c r="F6" s="300"/>
      <c r="G6" s="93" t="s">
        <v>195</v>
      </c>
      <c r="H6" s="10"/>
    </row>
    <row r="7" spans="1:8" ht="18.75" customHeight="1" x14ac:dyDescent="0.25">
      <c r="A7" s="335" t="s">
        <v>73</v>
      </c>
      <c r="B7" s="335"/>
      <c r="C7" s="14"/>
      <c r="D7" s="10"/>
      <c r="E7" s="335" t="s">
        <v>73</v>
      </c>
      <c r="F7" s="335"/>
      <c r="G7" s="14"/>
      <c r="H7" s="10"/>
    </row>
    <row r="8" spans="1:8" ht="15" customHeight="1" x14ac:dyDescent="0.2">
      <c r="A8" s="300" t="s">
        <v>74</v>
      </c>
      <c r="B8" s="300"/>
      <c r="C8" s="98">
        <v>15</v>
      </c>
      <c r="D8" s="10" t="s">
        <v>76</v>
      </c>
      <c r="E8" s="300" t="s">
        <v>74</v>
      </c>
      <c r="F8" s="300"/>
      <c r="G8" s="98">
        <v>15</v>
      </c>
      <c r="H8" s="10" t="s">
        <v>76</v>
      </c>
    </row>
    <row r="9" spans="1:8" ht="16.5" customHeight="1" x14ac:dyDescent="0.2">
      <c r="A9" s="294" t="s">
        <v>75</v>
      </c>
      <c r="B9" s="295"/>
      <c r="C9" s="98">
        <v>9</v>
      </c>
      <c r="D9" s="10" t="s">
        <v>76</v>
      </c>
      <c r="E9" s="294" t="s">
        <v>75</v>
      </c>
      <c r="F9" s="295"/>
      <c r="G9" s="98">
        <v>11</v>
      </c>
      <c r="H9" s="10" t="s">
        <v>76</v>
      </c>
    </row>
    <row r="10" spans="1:8" ht="9.75" customHeight="1" x14ac:dyDescent="0.2">
      <c r="A10" s="336"/>
      <c r="B10" s="336"/>
      <c r="C10" s="336"/>
      <c r="D10" s="336"/>
      <c r="E10" s="336"/>
      <c r="F10" s="336"/>
      <c r="G10" s="336"/>
      <c r="H10" s="336"/>
    </row>
    <row r="11" spans="1:8" ht="15" customHeight="1" x14ac:dyDescent="0.2">
      <c r="A11" s="299" t="s">
        <v>79</v>
      </c>
      <c r="B11" s="298"/>
      <c r="C11" s="49"/>
      <c r="D11" s="1"/>
      <c r="E11" s="299" t="s">
        <v>79</v>
      </c>
      <c r="F11" s="298"/>
      <c r="G11" s="49"/>
      <c r="H11" s="1"/>
    </row>
    <row r="12" spans="1:8" ht="15" customHeight="1" x14ac:dyDescent="0.2">
      <c r="A12" s="298" t="s">
        <v>77</v>
      </c>
      <c r="B12" s="298"/>
      <c r="C12" s="42"/>
      <c r="D12" s="10"/>
      <c r="E12" s="298" t="s">
        <v>77</v>
      </c>
      <c r="F12" s="298"/>
      <c r="G12" s="42"/>
      <c r="H12" s="10"/>
    </row>
    <row r="13" spans="1:8" ht="16.5" customHeight="1" x14ac:dyDescent="0.2">
      <c r="A13" s="300" t="s">
        <v>78</v>
      </c>
      <c r="B13" s="300"/>
      <c r="C13" s="42">
        <v>155</v>
      </c>
      <c r="D13" s="10" t="s">
        <v>108</v>
      </c>
      <c r="E13" s="300" t="s">
        <v>78</v>
      </c>
      <c r="F13" s="300"/>
      <c r="G13" s="42">
        <v>255</v>
      </c>
      <c r="H13" s="10" t="s">
        <v>108</v>
      </c>
    </row>
    <row r="14" spans="1:8" ht="19.5" customHeight="1" x14ac:dyDescent="0.2">
      <c r="A14" s="298" t="s">
        <v>80</v>
      </c>
      <c r="B14" s="298"/>
      <c r="C14" s="3"/>
      <c r="D14" s="10"/>
      <c r="E14" s="298" t="s">
        <v>80</v>
      </c>
      <c r="F14" s="298"/>
      <c r="G14" s="3"/>
      <c r="H14" s="10"/>
    </row>
    <row r="15" spans="1:8" ht="15" x14ac:dyDescent="0.2">
      <c r="A15" s="294" t="s">
        <v>81</v>
      </c>
      <c r="B15" s="295"/>
      <c r="C15" s="3">
        <v>300</v>
      </c>
      <c r="D15" s="10"/>
      <c r="E15" s="294" t="s">
        <v>81</v>
      </c>
      <c r="F15" s="295"/>
      <c r="G15" s="3">
        <v>450</v>
      </c>
      <c r="H15" s="10"/>
    </row>
    <row r="16" spans="1:8" ht="15" customHeight="1" x14ac:dyDescent="0.2">
      <c r="A16" s="294" t="s">
        <v>82</v>
      </c>
      <c r="B16" s="295"/>
      <c r="C16" s="3">
        <v>500</v>
      </c>
      <c r="D16" s="10"/>
      <c r="E16" s="294" t="s">
        <v>82</v>
      </c>
      <c r="F16" s="295"/>
      <c r="G16" s="3">
        <v>800</v>
      </c>
      <c r="H16" s="10"/>
    </row>
    <row r="17" spans="1:8" ht="15" customHeight="1" x14ac:dyDescent="0.2">
      <c r="A17" s="15"/>
      <c r="B17" s="92"/>
      <c r="C17" s="3"/>
      <c r="D17" s="10"/>
      <c r="E17" s="15"/>
      <c r="F17" s="92"/>
      <c r="G17" s="3"/>
      <c r="H17" s="10"/>
    </row>
    <row r="18" spans="1:8" ht="15" customHeight="1" x14ac:dyDescent="0.2">
      <c r="A18" s="294" t="s">
        <v>599</v>
      </c>
      <c r="B18" s="295"/>
      <c r="C18" s="333" t="s">
        <v>600</v>
      </c>
      <c r="D18" s="334"/>
      <c r="E18" s="294" t="s">
        <v>599</v>
      </c>
      <c r="F18" s="295"/>
      <c r="G18" s="333" t="s">
        <v>600</v>
      </c>
      <c r="H18" s="334"/>
    </row>
    <row r="19" spans="1:8" ht="15" customHeight="1" x14ac:dyDescent="0.2">
      <c r="A19" s="310"/>
      <c r="B19" s="312"/>
      <c r="C19" s="3"/>
      <c r="D19" s="10"/>
      <c r="E19" s="310"/>
      <c r="F19" s="312"/>
      <c r="G19" s="3"/>
      <c r="H19" s="10"/>
    </row>
    <row r="20" spans="1:8" ht="33" customHeight="1" x14ac:dyDescent="0.2">
      <c r="A20" s="299" t="s">
        <v>149</v>
      </c>
      <c r="B20" s="298"/>
      <c r="C20" s="3">
        <v>200</v>
      </c>
      <c r="D20" s="68" t="s">
        <v>124</v>
      </c>
      <c r="E20" s="299" t="s">
        <v>149</v>
      </c>
      <c r="F20" s="298"/>
      <c r="G20" s="3">
        <v>250</v>
      </c>
      <c r="H20" s="68" t="s">
        <v>124</v>
      </c>
    </row>
    <row r="21" spans="1:8" ht="8.25" customHeight="1" x14ac:dyDescent="0.2">
      <c r="A21" s="304"/>
      <c r="B21" s="305"/>
      <c r="C21" s="305"/>
      <c r="D21" s="306"/>
      <c r="E21" s="304"/>
      <c r="F21" s="305"/>
      <c r="G21" s="305"/>
      <c r="H21" s="306"/>
    </row>
    <row r="22" spans="1:8" ht="38.25" customHeight="1" x14ac:dyDescent="0.2">
      <c r="A22" s="299" t="s">
        <v>125</v>
      </c>
      <c r="B22" s="298"/>
      <c r="C22" s="3">
        <v>350</v>
      </c>
      <c r="D22" s="1" t="s">
        <v>108</v>
      </c>
      <c r="E22" s="299" t="s">
        <v>125</v>
      </c>
      <c r="F22" s="298"/>
      <c r="G22" s="3">
        <v>450</v>
      </c>
      <c r="H22" s="1" t="s">
        <v>108</v>
      </c>
    </row>
    <row r="23" spans="1:8" x14ac:dyDescent="0.2">
      <c r="A23" s="69"/>
      <c r="B23" s="5"/>
      <c r="C23" s="6"/>
    </row>
    <row r="24" spans="1:8" x14ac:dyDescent="0.2">
      <c r="A24" s="4"/>
      <c r="B24" s="5"/>
      <c r="C24" s="6"/>
    </row>
    <row r="25" spans="1:8" x14ac:dyDescent="0.2">
      <c r="A25" s="4"/>
      <c r="B25" s="5"/>
      <c r="C25" s="6"/>
    </row>
    <row r="26" spans="1:8" x14ac:dyDescent="0.2">
      <c r="A26" s="4"/>
      <c r="B26" s="5"/>
      <c r="C26" s="6"/>
    </row>
    <row r="27" spans="1:8" x14ac:dyDescent="0.2">
      <c r="A27" s="4"/>
      <c r="B27" s="5"/>
      <c r="C27" s="6"/>
    </row>
    <row r="28" spans="1:8" x14ac:dyDescent="0.2">
      <c r="A28" s="4"/>
      <c r="B28" s="5"/>
      <c r="C28" s="6"/>
    </row>
    <row r="29" spans="1:8" x14ac:dyDescent="0.2">
      <c r="A29" s="4"/>
      <c r="B29" s="5"/>
      <c r="C29" s="6"/>
    </row>
    <row r="30" spans="1:8" x14ac:dyDescent="0.2">
      <c r="A30" s="7"/>
      <c r="B30" s="5"/>
      <c r="C30" s="6"/>
    </row>
    <row r="31" spans="1:8" x14ac:dyDescent="0.2">
      <c r="A31" s="7"/>
      <c r="B31" s="5"/>
      <c r="C31" s="6"/>
    </row>
    <row r="32" spans="1:8" x14ac:dyDescent="0.2">
      <c r="A32" s="4"/>
      <c r="B32" s="5"/>
      <c r="C32" s="6"/>
    </row>
    <row r="33" spans="1:3" x14ac:dyDescent="0.2">
      <c r="A33" s="4"/>
      <c r="B33" s="5"/>
      <c r="C33" s="6"/>
    </row>
    <row r="34" spans="1:3" x14ac:dyDescent="0.2">
      <c r="A34" s="4"/>
      <c r="B34" s="5"/>
      <c r="C34" s="6"/>
    </row>
    <row r="35" spans="1:3" x14ac:dyDescent="0.2">
      <c r="A35" s="4"/>
      <c r="B35" s="8"/>
      <c r="C35" s="6"/>
    </row>
    <row r="36" spans="1:3" x14ac:dyDescent="0.2">
      <c r="A36" s="4"/>
      <c r="B36" s="8"/>
      <c r="C36" s="6"/>
    </row>
    <row r="37" spans="1:3" x14ac:dyDescent="0.2">
      <c r="B37" s="5"/>
      <c r="C37" s="6"/>
    </row>
    <row r="38" spans="1:3" x14ac:dyDescent="0.2">
      <c r="A38" s="9"/>
      <c r="B38" s="8"/>
      <c r="C38" s="13"/>
    </row>
    <row r="39" spans="1:3" x14ac:dyDescent="0.2">
      <c r="A39" s="9"/>
      <c r="B39" s="5"/>
      <c r="C39" s="6"/>
    </row>
    <row r="41" spans="1:3" x14ac:dyDescent="0.2">
      <c r="A41" s="9"/>
    </row>
  </sheetData>
  <mergeCells count="44">
    <mergeCell ref="A22:B22"/>
    <mergeCell ref="C18:D18"/>
    <mergeCell ref="A1:D1"/>
    <mergeCell ref="A7:B7"/>
    <mergeCell ref="A8:B8"/>
    <mergeCell ref="A21:D21"/>
    <mergeCell ref="A2:B2"/>
    <mergeCell ref="A10:D10"/>
    <mergeCell ref="A13:B13"/>
    <mergeCell ref="A11:B11"/>
    <mergeCell ref="A12:B12"/>
    <mergeCell ref="A3:B3"/>
    <mergeCell ref="A5:B5"/>
    <mergeCell ref="A6:B6"/>
    <mergeCell ref="A14:B14"/>
    <mergeCell ref="A20:B20"/>
    <mergeCell ref="A4:B4"/>
    <mergeCell ref="A19:B19"/>
    <mergeCell ref="A9:B9"/>
    <mergeCell ref="A15:B15"/>
    <mergeCell ref="A16:B16"/>
    <mergeCell ref="A18:B18"/>
    <mergeCell ref="E1:H1"/>
    <mergeCell ref="E2:F2"/>
    <mergeCell ref="E3:F3"/>
    <mergeCell ref="E4:F4"/>
    <mergeCell ref="E5:F5"/>
    <mergeCell ref="E6:F6"/>
    <mergeCell ref="E7:F7"/>
    <mergeCell ref="E8:F8"/>
    <mergeCell ref="E9:F9"/>
    <mergeCell ref="E10:H10"/>
    <mergeCell ref="E11:F11"/>
    <mergeCell ref="E12:F12"/>
    <mergeCell ref="E13:F13"/>
    <mergeCell ref="E14:F14"/>
    <mergeCell ref="E15:F15"/>
    <mergeCell ref="E21:H21"/>
    <mergeCell ref="E22:F22"/>
    <mergeCell ref="E16:F16"/>
    <mergeCell ref="E18:F18"/>
    <mergeCell ref="G18:H18"/>
    <mergeCell ref="E19:F19"/>
    <mergeCell ref="E20:F20"/>
  </mergeCells>
  <printOptions horizontalCentered="1"/>
  <pageMargins left="0" right="0" top="1.5748031496062993" bottom="0.39370078740157483" header="0.11811023622047245" footer="0.51181102362204722"/>
  <pageSetup paperSize="9" orientation="portrait" r:id="rId1"/>
  <headerFooter scaleWithDoc="0">
    <oddHeader>&amp;C&amp;G</oddHead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85"/>
  <sheetViews>
    <sheetView topLeftCell="A13" workbookViewId="0">
      <selection activeCell="B28" sqref="B28"/>
    </sheetView>
  </sheetViews>
  <sheetFormatPr defaultColWidth="8.85546875" defaultRowHeight="12.75" x14ac:dyDescent="0.2"/>
  <cols>
    <col min="1" max="1" width="62.140625" customWidth="1"/>
    <col min="2" max="2" width="21.28515625" style="120" customWidth="1"/>
    <col min="3" max="3" width="17.5703125" customWidth="1"/>
    <col min="4" max="4" width="42.28515625" bestFit="1" customWidth="1"/>
    <col min="7" max="7" width="21" customWidth="1"/>
  </cols>
  <sheetData>
    <row r="1" spans="1:9" ht="27" customHeight="1" x14ac:dyDescent="0.4">
      <c r="A1" s="279" t="s">
        <v>307</v>
      </c>
      <c r="B1" s="279"/>
      <c r="C1" s="279"/>
    </row>
    <row r="2" spans="1:9" ht="16.5" customHeight="1" x14ac:dyDescent="0.2">
      <c r="A2" s="172" t="s">
        <v>280</v>
      </c>
      <c r="B2" s="200" t="s">
        <v>275</v>
      </c>
      <c r="C2" s="118" t="s">
        <v>290</v>
      </c>
      <c r="H2" s="120"/>
      <c r="I2" s="120"/>
    </row>
    <row r="3" spans="1:9" ht="16.5" customHeight="1" x14ac:dyDescent="0.2">
      <c r="A3" s="173" t="s">
        <v>283</v>
      </c>
      <c r="B3" s="132"/>
      <c r="C3" s="124">
        <v>55</v>
      </c>
      <c r="H3" s="120"/>
      <c r="I3" s="120"/>
    </row>
    <row r="4" spans="1:9" ht="16.5" customHeight="1" x14ac:dyDescent="0.2">
      <c r="A4" s="175" t="s">
        <v>385</v>
      </c>
      <c r="B4" s="205">
        <f>(4*4.85)/3</f>
        <v>6.4666666666666659</v>
      </c>
      <c r="C4" s="10"/>
      <c r="D4" s="69"/>
      <c r="H4" s="121"/>
      <c r="I4" s="121"/>
    </row>
    <row r="5" spans="1:9" ht="16.5" customHeight="1" x14ac:dyDescent="0.2">
      <c r="A5" s="175" t="s">
        <v>386</v>
      </c>
      <c r="B5" s="131">
        <f>0.23*2*4</f>
        <v>1.84</v>
      </c>
      <c r="C5" s="10"/>
      <c r="D5" s="69"/>
      <c r="H5" s="121"/>
      <c r="I5" s="121"/>
    </row>
    <row r="6" spans="1:9" ht="15" customHeight="1" x14ac:dyDescent="0.2">
      <c r="A6" s="175" t="s">
        <v>387</v>
      </c>
      <c r="B6" s="129">
        <f>(60*0.8)/15</f>
        <v>3.2</v>
      </c>
      <c r="C6" s="10"/>
      <c r="D6" s="69"/>
      <c r="H6" s="121"/>
      <c r="I6" s="121"/>
    </row>
    <row r="7" spans="1:9" ht="15" customHeight="1" x14ac:dyDescent="0.2">
      <c r="A7" s="176" t="s">
        <v>388</v>
      </c>
      <c r="B7" s="129">
        <f>(27.5*8)/15</f>
        <v>14.666666666666666</v>
      </c>
      <c r="C7" s="10"/>
      <c r="D7" s="69"/>
      <c r="H7" s="121"/>
      <c r="I7" s="121"/>
    </row>
    <row r="8" spans="1:9" ht="15" customHeight="1" x14ac:dyDescent="0.2">
      <c r="A8" s="176" t="s">
        <v>389</v>
      </c>
      <c r="B8" s="129">
        <f>1.5/15</f>
        <v>0.1</v>
      </c>
      <c r="C8" s="10"/>
      <c r="D8" s="69"/>
      <c r="H8" s="121"/>
      <c r="I8" s="121"/>
    </row>
    <row r="9" spans="1:9" ht="15" customHeight="1" x14ac:dyDescent="0.2">
      <c r="A9" s="177" t="s">
        <v>426</v>
      </c>
      <c r="B9" s="161">
        <f>SUM(B4:B8)</f>
        <v>26.273333333333333</v>
      </c>
      <c r="C9" s="10"/>
      <c r="D9" s="69"/>
      <c r="H9" s="121"/>
      <c r="I9" s="121"/>
    </row>
    <row r="10" spans="1:9" ht="15" customHeight="1" x14ac:dyDescent="0.2">
      <c r="A10" s="176" t="s">
        <v>437</v>
      </c>
      <c r="B10" s="129">
        <f>(B9*10)/100</f>
        <v>2.6273333333333335</v>
      </c>
      <c r="C10" s="10"/>
      <c r="H10" s="121"/>
      <c r="I10" s="121"/>
    </row>
    <row r="11" spans="1:9" ht="15" customHeight="1" x14ac:dyDescent="0.2">
      <c r="A11" s="176" t="s">
        <v>438</v>
      </c>
      <c r="B11" s="129">
        <f>(B9*5)/100</f>
        <v>1.3136666666666668</v>
      </c>
      <c r="C11" s="10"/>
      <c r="H11" s="121"/>
      <c r="I11" s="121"/>
    </row>
    <row r="12" spans="1:9" ht="15" customHeight="1" x14ac:dyDescent="0.2">
      <c r="A12" s="177" t="s">
        <v>289</v>
      </c>
      <c r="B12" s="161">
        <f>SUM(B9:B11)</f>
        <v>30.214333333333332</v>
      </c>
      <c r="C12" s="10"/>
      <c r="D12" s="69"/>
      <c r="H12" s="121"/>
      <c r="I12" s="121"/>
    </row>
    <row r="13" spans="1:9" ht="15" customHeight="1" x14ac:dyDescent="0.2">
      <c r="A13" s="175" t="s">
        <v>276</v>
      </c>
      <c r="B13" s="122">
        <f>(C3*10)/100</f>
        <v>5.5</v>
      </c>
      <c r="C13" s="10"/>
      <c r="D13" s="69"/>
      <c r="H13" s="121"/>
      <c r="I13" s="121"/>
    </row>
    <row r="14" spans="1:9" ht="15" customHeight="1" x14ac:dyDescent="0.2">
      <c r="A14" s="176" t="s">
        <v>428</v>
      </c>
      <c r="B14" s="161"/>
      <c r="C14" s="10"/>
      <c r="D14" s="69"/>
      <c r="H14" s="121"/>
      <c r="I14" s="121"/>
    </row>
    <row r="15" spans="1:9" ht="15" customHeight="1" x14ac:dyDescent="0.2">
      <c r="A15" s="177" t="s">
        <v>427</v>
      </c>
      <c r="B15" s="161">
        <f>SUM(B12:B14)</f>
        <v>35.714333333333329</v>
      </c>
      <c r="C15" s="10"/>
      <c r="D15" s="69"/>
      <c r="H15" s="121"/>
      <c r="I15" s="121"/>
    </row>
    <row r="16" spans="1:9" ht="15" customHeight="1" x14ac:dyDescent="0.2">
      <c r="A16" s="139" t="s">
        <v>429</v>
      </c>
      <c r="B16" s="138">
        <f>C3-B15</f>
        <v>19.285666666666671</v>
      </c>
      <c r="C16" s="10"/>
      <c r="D16" s="69"/>
      <c r="H16" s="121"/>
      <c r="I16" s="121"/>
    </row>
    <row r="17" spans="1:9" ht="9" customHeight="1" x14ac:dyDescent="0.25">
      <c r="A17" s="119"/>
      <c r="B17" s="206"/>
      <c r="C17" s="10"/>
      <c r="D17" s="69"/>
      <c r="H17" s="121"/>
      <c r="I17" s="121"/>
    </row>
    <row r="18" spans="1:9" ht="15" customHeight="1" x14ac:dyDescent="0.2">
      <c r="A18" s="175" t="s">
        <v>441</v>
      </c>
      <c r="B18" s="129">
        <f>B15*130%</f>
        <v>46.42863333333333</v>
      </c>
      <c r="C18" s="10"/>
      <c r="D18" s="69"/>
      <c r="H18" s="121"/>
      <c r="I18" s="121"/>
    </row>
    <row r="19" spans="1:9" ht="15" customHeight="1" x14ac:dyDescent="0.2">
      <c r="A19" s="177" t="s">
        <v>288</v>
      </c>
      <c r="B19" s="161">
        <f>B15*15</f>
        <v>535.71499999999992</v>
      </c>
      <c r="C19" s="10"/>
      <c r="D19" s="69"/>
      <c r="H19" s="121"/>
      <c r="I19" s="121"/>
    </row>
    <row r="20" spans="1:9" ht="15" customHeight="1" x14ac:dyDescent="0.2">
      <c r="A20" s="177" t="s">
        <v>287</v>
      </c>
      <c r="B20" s="161">
        <f>B15*20</f>
        <v>714.28666666666663</v>
      </c>
      <c r="C20" s="10"/>
      <c r="D20" s="69"/>
      <c r="H20" s="121"/>
      <c r="I20" s="121"/>
    </row>
    <row r="21" spans="1:9" ht="16.5" customHeight="1" x14ac:dyDescent="0.2">
      <c r="A21" s="176" t="s">
        <v>285</v>
      </c>
      <c r="B21" s="129">
        <f>(C3*15)-B19</f>
        <v>289.28500000000008</v>
      </c>
      <c r="C21" s="10"/>
      <c r="H21" s="121"/>
      <c r="I21" s="121"/>
    </row>
    <row r="22" spans="1:9" ht="16.5" customHeight="1" x14ac:dyDescent="0.2">
      <c r="A22" s="176" t="s">
        <v>286</v>
      </c>
      <c r="B22" s="129">
        <f>(C3*20)-B20</f>
        <v>385.71333333333337</v>
      </c>
      <c r="C22" s="10"/>
      <c r="H22" s="121"/>
      <c r="I22" s="121"/>
    </row>
    <row r="23" spans="1:9" ht="8.25" customHeight="1" x14ac:dyDescent="0.2">
      <c r="A23" s="336"/>
      <c r="B23" s="336"/>
      <c r="C23" s="336"/>
      <c r="H23" s="121"/>
      <c r="I23" s="121"/>
    </row>
    <row r="24" spans="1:9" ht="16.5" customHeight="1" x14ac:dyDescent="0.2">
      <c r="A24" s="172" t="s">
        <v>338</v>
      </c>
      <c r="B24" s="200" t="s">
        <v>275</v>
      </c>
      <c r="C24" s="118" t="s">
        <v>290</v>
      </c>
      <c r="H24" s="121"/>
      <c r="I24" s="121"/>
    </row>
    <row r="25" spans="1:9" ht="16.5" customHeight="1" x14ac:dyDescent="0.2">
      <c r="A25" s="173" t="s">
        <v>283</v>
      </c>
      <c r="B25" s="132"/>
      <c r="C25" s="124">
        <v>155</v>
      </c>
      <c r="H25" s="121"/>
      <c r="I25" s="121"/>
    </row>
    <row r="26" spans="1:9" ht="16.5" customHeight="1" x14ac:dyDescent="0.2">
      <c r="A26" s="175" t="s">
        <v>339</v>
      </c>
      <c r="B26" s="131">
        <v>4</v>
      </c>
      <c r="C26" s="10"/>
      <c r="D26" s="69"/>
      <c r="H26" s="121"/>
      <c r="I26" s="121"/>
    </row>
    <row r="27" spans="1:9" ht="16.5" customHeight="1" x14ac:dyDescent="0.2">
      <c r="A27" s="175" t="s">
        <v>390</v>
      </c>
      <c r="B27" s="129">
        <f>(60*0.8)/8</f>
        <v>6</v>
      </c>
      <c r="C27" s="10"/>
      <c r="D27" s="69"/>
      <c r="H27" s="121"/>
      <c r="I27" s="121"/>
    </row>
    <row r="28" spans="1:9" ht="16.5" customHeight="1" x14ac:dyDescent="0.2">
      <c r="A28" s="176" t="s">
        <v>391</v>
      </c>
      <c r="B28" s="129">
        <f>(27.5*8)/8</f>
        <v>27.5</v>
      </c>
      <c r="C28" s="10"/>
      <c r="D28" s="69"/>
      <c r="H28" s="121"/>
      <c r="I28" s="121"/>
    </row>
    <row r="29" spans="1:9" ht="16.5" customHeight="1" x14ac:dyDescent="0.2">
      <c r="A29" s="176" t="s">
        <v>392</v>
      </c>
      <c r="B29" s="129">
        <f>1.5/8</f>
        <v>0.1875</v>
      </c>
      <c r="C29" s="10"/>
      <c r="D29" s="69"/>
      <c r="H29" s="121"/>
      <c r="I29" s="121"/>
    </row>
    <row r="30" spans="1:9" ht="16.5" customHeight="1" x14ac:dyDescent="0.2">
      <c r="A30" s="177" t="s">
        <v>426</v>
      </c>
      <c r="B30" s="161">
        <f>SUM(B26:B29)</f>
        <v>37.6875</v>
      </c>
      <c r="C30" s="10"/>
      <c r="D30" s="69"/>
      <c r="H30" s="121"/>
      <c r="I30" s="121"/>
    </row>
    <row r="31" spans="1:9" ht="16.5" customHeight="1" x14ac:dyDescent="0.2">
      <c r="A31" s="176" t="s">
        <v>437</v>
      </c>
      <c r="B31" s="129">
        <f>(B30*10)/100</f>
        <v>3.7687499999999998</v>
      </c>
      <c r="C31" s="10"/>
      <c r="H31" s="121"/>
      <c r="I31" s="121"/>
    </row>
    <row r="32" spans="1:9" ht="16.5" customHeight="1" x14ac:dyDescent="0.2">
      <c r="A32" s="176" t="s">
        <v>438</v>
      </c>
      <c r="B32" s="129">
        <f>(B30*5)/100</f>
        <v>1.8843749999999999</v>
      </c>
      <c r="C32" s="10"/>
      <c r="H32" s="121"/>
      <c r="I32" s="121"/>
    </row>
    <row r="33" spans="1:9" ht="16.5" customHeight="1" x14ac:dyDescent="0.2">
      <c r="A33" s="177" t="s">
        <v>289</v>
      </c>
      <c r="B33" s="161">
        <f>SUM(B30:B32)</f>
        <v>43.340624999999996</v>
      </c>
      <c r="C33" s="10"/>
      <c r="D33" s="69"/>
      <c r="H33" s="121"/>
      <c r="I33" s="121"/>
    </row>
    <row r="34" spans="1:9" ht="16.5" customHeight="1" x14ac:dyDescent="0.2">
      <c r="A34" s="175" t="s">
        <v>276</v>
      </c>
      <c r="B34" s="122">
        <f>(C25*10)/100</f>
        <v>15.5</v>
      </c>
      <c r="C34" s="10"/>
      <c r="D34" s="69"/>
      <c r="H34" s="121"/>
      <c r="I34" s="121"/>
    </row>
    <row r="35" spans="1:9" ht="16.5" customHeight="1" x14ac:dyDescent="0.2">
      <c r="A35" s="176" t="s">
        <v>428</v>
      </c>
      <c r="B35" s="161"/>
      <c r="C35" s="10"/>
      <c r="D35" s="69"/>
      <c r="H35" s="121"/>
      <c r="I35" s="121"/>
    </row>
    <row r="36" spans="1:9" ht="16.5" customHeight="1" x14ac:dyDescent="0.2">
      <c r="A36" s="177" t="s">
        <v>427</v>
      </c>
      <c r="B36" s="161">
        <f>SUM(B33:B35)</f>
        <v>58.840624999999996</v>
      </c>
      <c r="C36" s="10"/>
      <c r="D36" s="69"/>
      <c r="H36" s="121"/>
      <c r="I36" s="121"/>
    </row>
    <row r="37" spans="1:9" ht="16.5" customHeight="1" x14ac:dyDescent="0.2">
      <c r="A37" s="139" t="s">
        <v>429</v>
      </c>
      <c r="B37" s="138">
        <f>C25-B36</f>
        <v>96.159375000000011</v>
      </c>
      <c r="C37" s="10"/>
      <c r="D37" s="69"/>
      <c r="H37" s="121"/>
      <c r="I37" s="121"/>
    </row>
    <row r="38" spans="1:9" ht="9" customHeight="1" x14ac:dyDescent="0.2">
      <c r="A38" s="139"/>
      <c r="B38" s="138"/>
      <c r="C38" s="10"/>
      <c r="D38" s="69"/>
      <c r="H38" s="121"/>
      <c r="I38" s="121"/>
    </row>
    <row r="39" spans="1:9" ht="16.5" customHeight="1" x14ac:dyDescent="0.2">
      <c r="A39" s="175" t="s">
        <v>441</v>
      </c>
      <c r="B39" s="129">
        <f>B36*130%</f>
        <v>76.492812499999999</v>
      </c>
      <c r="C39" s="10"/>
      <c r="D39" s="69"/>
      <c r="H39" s="121"/>
      <c r="I39" s="121"/>
    </row>
    <row r="40" spans="1:9" ht="16.5" customHeight="1" x14ac:dyDescent="0.2">
      <c r="A40" s="177" t="s">
        <v>288</v>
      </c>
      <c r="B40" s="161">
        <f>B36*15</f>
        <v>882.60937499999989</v>
      </c>
      <c r="C40" s="10"/>
      <c r="D40" s="69"/>
      <c r="H40" s="121"/>
      <c r="I40" s="121"/>
    </row>
    <row r="41" spans="1:9" ht="16.5" customHeight="1" x14ac:dyDescent="0.2">
      <c r="A41" s="177" t="s">
        <v>287</v>
      </c>
      <c r="B41" s="161">
        <f>B36*20</f>
        <v>1176.8125</v>
      </c>
      <c r="C41" s="10"/>
      <c r="D41" s="69"/>
      <c r="H41" s="121"/>
      <c r="I41" s="121"/>
    </row>
    <row r="42" spans="1:9" ht="16.5" customHeight="1" x14ac:dyDescent="0.2">
      <c r="A42" s="176" t="s">
        <v>285</v>
      </c>
      <c r="B42" s="129">
        <f>(C25*15)-B40</f>
        <v>1442.390625</v>
      </c>
      <c r="C42" s="10"/>
      <c r="H42" s="121"/>
      <c r="I42" s="121"/>
    </row>
    <row r="43" spans="1:9" ht="16.5" customHeight="1" x14ac:dyDescent="0.2">
      <c r="A43" s="176" t="s">
        <v>286</v>
      </c>
      <c r="B43" s="129">
        <f>(C25*20)-B41</f>
        <v>1923.1875</v>
      </c>
      <c r="C43" s="10"/>
      <c r="H43" s="121"/>
      <c r="I43" s="121"/>
    </row>
    <row r="44" spans="1:9" ht="8.25" customHeight="1" x14ac:dyDescent="0.2">
      <c r="A44" s="179"/>
      <c r="B44" s="207"/>
      <c r="C44" s="40"/>
      <c r="H44" s="121"/>
      <c r="I44" s="121"/>
    </row>
    <row r="45" spans="1:9" ht="16.5" customHeight="1" x14ac:dyDescent="0.2">
      <c r="A45" s="172" t="s">
        <v>340</v>
      </c>
      <c r="B45" s="200" t="s">
        <v>275</v>
      </c>
      <c r="C45" s="118" t="s">
        <v>290</v>
      </c>
      <c r="H45" s="121"/>
      <c r="I45" s="121"/>
    </row>
    <row r="46" spans="1:9" ht="16.5" customHeight="1" x14ac:dyDescent="0.2">
      <c r="A46" s="173" t="s">
        <v>283</v>
      </c>
      <c r="B46" s="132"/>
      <c r="C46" s="124">
        <v>65</v>
      </c>
      <c r="H46" s="121"/>
      <c r="I46" s="121"/>
    </row>
    <row r="47" spans="1:9" ht="16.5" customHeight="1" x14ac:dyDescent="0.2">
      <c r="A47" s="175" t="s">
        <v>385</v>
      </c>
      <c r="B47" s="205">
        <f>(4*4.85)/3</f>
        <v>6.4666666666666659</v>
      </c>
      <c r="C47" s="10"/>
      <c r="D47" s="69"/>
      <c r="H47" s="121"/>
      <c r="I47" s="121"/>
    </row>
    <row r="48" spans="1:9" ht="16.5" customHeight="1" x14ac:dyDescent="0.2">
      <c r="A48" s="175" t="s">
        <v>386</v>
      </c>
      <c r="B48" s="131">
        <f>(0.23*2*4)</f>
        <v>1.84</v>
      </c>
      <c r="C48" s="10"/>
      <c r="D48" s="69"/>
      <c r="H48" s="121"/>
      <c r="I48" s="121"/>
    </row>
    <row r="49" spans="1:9" ht="16.5" customHeight="1" x14ac:dyDescent="0.2">
      <c r="A49" s="176" t="s">
        <v>339</v>
      </c>
      <c r="B49" s="131">
        <v>4</v>
      </c>
      <c r="C49" s="10"/>
      <c r="D49" s="69"/>
      <c r="H49" s="121"/>
      <c r="I49" s="121"/>
    </row>
    <row r="50" spans="1:9" ht="16.5" customHeight="1" x14ac:dyDescent="0.2">
      <c r="A50" s="175" t="s">
        <v>412</v>
      </c>
      <c r="B50" s="129">
        <f>(60*0.8)/10</f>
        <v>4.8</v>
      </c>
      <c r="C50" s="10"/>
      <c r="D50" s="69"/>
      <c r="H50" s="121"/>
      <c r="I50" s="121"/>
    </row>
    <row r="51" spans="1:9" ht="16.5" customHeight="1" x14ac:dyDescent="0.2">
      <c r="A51" s="176" t="s">
        <v>413</v>
      </c>
      <c r="B51" s="129">
        <f>(27.5*8)/10</f>
        <v>22</v>
      </c>
      <c r="C51" s="10"/>
      <c r="D51" s="69"/>
      <c r="H51" s="121"/>
      <c r="I51" s="121"/>
    </row>
    <row r="52" spans="1:9" ht="16.5" customHeight="1" x14ac:dyDescent="0.2">
      <c r="A52" s="176" t="s">
        <v>509</v>
      </c>
      <c r="B52" s="129">
        <f>1.5/10</f>
        <v>0.15</v>
      </c>
      <c r="C52" s="10"/>
      <c r="D52" s="69"/>
      <c r="H52" s="121"/>
      <c r="I52" s="121"/>
    </row>
    <row r="53" spans="1:9" ht="16.5" customHeight="1" x14ac:dyDescent="0.2">
      <c r="A53" s="177" t="s">
        <v>426</v>
      </c>
      <c r="B53" s="161">
        <f>SUM(B47:B52)</f>
        <v>39.256666666666668</v>
      </c>
      <c r="C53" s="10"/>
      <c r="D53" s="69"/>
      <c r="H53" s="121"/>
      <c r="I53" s="121"/>
    </row>
    <row r="54" spans="1:9" ht="16.5" customHeight="1" x14ac:dyDescent="0.2">
      <c r="A54" s="176" t="s">
        <v>437</v>
      </c>
      <c r="B54" s="129">
        <f>(B53*10)/100</f>
        <v>3.9256666666666664</v>
      </c>
      <c r="C54" s="10"/>
      <c r="H54" s="121"/>
      <c r="I54" s="121"/>
    </row>
    <row r="55" spans="1:9" ht="16.5" customHeight="1" x14ac:dyDescent="0.2">
      <c r="A55" s="176" t="s">
        <v>438</v>
      </c>
      <c r="B55" s="129">
        <f>(B53*5)/100</f>
        <v>1.9628333333333332</v>
      </c>
      <c r="C55" s="10"/>
      <c r="H55" s="121"/>
      <c r="I55" s="121"/>
    </row>
    <row r="56" spans="1:9" ht="16.5" customHeight="1" x14ac:dyDescent="0.2">
      <c r="A56" s="177" t="s">
        <v>289</v>
      </c>
      <c r="B56" s="161">
        <f>SUM(B53:B55)</f>
        <v>45.145166666666668</v>
      </c>
      <c r="C56" s="10"/>
      <c r="D56" s="69"/>
      <c r="H56" s="121"/>
      <c r="I56" s="121"/>
    </row>
    <row r="57" spans="1:9" ht="16.5" customHeight="1" x14ac:dyDescent="0.2">
      <c r="A57" s="175" t="s">
        <v>276</v>
      </c>
      <c r="B57" s="122">
        <f>(C46*10)/100</f>
        <v>6.5</v>
      </c>
      <c r="C57" s="10"/>
      <c r="D57" s="69"/>
      <c r="H57" s="121"/>
      <c r="I57" s="121"/>
    </row>
    <row r="58" spans="1:9" ht="16.5" customHeight="1" x14ac:dyDescent="0.2">
      <c r="A58" s="176" t="s">
        <v>428</v>
      </c>
      <c r="B58" s="161"/>
      <c r="C58" s="10"/>
      <c r="D58" s="69"/>
      <c r="H58" s="121"/>
      <c r="I58" s="121"/>
    </row>
    <row r="59" spans="1:9" ht="16.5" customHeight="1" x14ac:dyDescent="0.2">
      <c r="A59" s="177" t="s">
        <v>427</v>
      </c>
      <c r="B59" s="161">
        <f>SUM(B56:B58)</f>
        <v>51.645166666666668</v>
      </c>
      <c r="C59" s="10"/>
      <c r="D59" s="69"/>
      <c r="H59" s="121"/>
      <c r="I59" s="121"/>
    </row>
    <row r="60" spans="1:9" ht="16.5" customHeight="1" x14ac:dyDescent="0.2">
      <c r="A60" s="139" t="s">
        <v>429</v>
      </c>
      <c r="B60" s="138">
        <f>C46-B59</f>
        <v>13.354833333333332</v>
      </c>
      <c r="C60" s="10"/>
      <c r="D60" s="69"/>
      <c r="H60" s="121"/>
      <c r="I60" s="121"/>
    </row>
    <row r="61" spans="1:9" ht="9" customHeight="1" x14ac:dyDescent="0.2">
      <c r="A61" s="139"/>
      <c r="B61" s="138"/>
      <c r="C61" s="10"/>
      <c r="D61" s="69"/>
      <c r="H61" s="121"/>
      <c r="I61" s="121"/>
    </row>
    <row r="62" spans="1:9" ht="16.5" customHeight="1" x14ac:dyDescent="0.2">
      <c r="A62" s="175" t="s">
        <v>441</v>
      </c>
      <c r="B62" s="129">
        <f>B59*130%</f>
        <v>67.138716666666667</v>
      </c>
      <c r="C62" s="10"/>
      <c r="D62" s="69"/>
      <c r="H62" s="121"/>
      <c r="I62" s="121"/>
    </row>
    <row r="63" spans="1:9" ht="16.5" customHeight="1" x14ac:dyDescent="0.2">
      <c r="A63" s="177" t="s">
        <v>288</v>
      </c>
      <c r="B63" s="161">
        <f>B59*15</f>
        <v>774.67750000000001</v>
      </c>
      <c r="C63" s="10"/>
      <c r="D63" s="69"/>
      <c r="H63" s="121"/>
      <c r="I63" s="121"/>
    </row>
    <row r="64" spans="1:9" ht="16.5" customHeight="1" x14ac:dyDescent="0.2">
      <c r="A64" s="177" t="s">
        <v>287</v>
      </c>
      <c r="B64" s="161">
        <f>B59*20</f>
        <v>1032.9033333333334</v>
      </c>
      <c r="C64" s="10"/>
      <c r="D64" s="69"/>
      <c r="H64" s="121"/>
      <c r="I64" s="121"/>
    </row>
    <row r="65" spans="1:9" ht="16.5" customHeight="1" x14ac:dyDescent="0.2">
      <c r="A65" s="176" t="s">
        <v>285</v>
      </c>
      <c r="B65" s="129">
        <f>(C46*15)-B63</f>
        <v>200.32249999999999</v>
      </c>
      <c r="C65" s="10"/>
      <c r="H65" s="121"/>
      <c r="I65" s="121"/>
    </row>
    <row r="66" spans="1:9" ht="16.5" customHeight="1" x14ac:dyDescent="0.2">
      <c r="A66" s="176" t="s">
        <v>286</v>
      </c>
      <c r="B66" s="129">
        <f>(C46*20)-B64</f>
        <v>267.09666666666658</v>
      </c>
      <c r="C66" s="10"/>
      <c r="H66" s="121"/>
      <c r="I66" s="121"/>
    </row>
    <row r="67" spans="1:9" ht="16.5" customHeight="1" x14ac:dyDescent="0.2">
      <c r="A67" s="176"/>
      <c r="B67" s="129"/>
      <c r="C67" s="10"/>
      <c r="H67" s="121"/>
      <c r="I67" s="121"/>
    </row>
    <row r="68" spans="1:9" x14ac:dyDescent="0.2">
      <c r="A68" s="4"/>
      <c r="B68" s="208"/>
    </row>
    <row r="69" spans="1:9" x14ac:dyDescent="0.2">
      <c r="A69" s="4"/>
      <c r="B69" s="208"/>
    </row>
    <row r="70" spans="1:9" x14ac:dyDescent="0.2">
      <c r="A70" s="4"/>
      <c r="B70" s="208"/>
    </row>
    <row r="71" spans="1:9" x14ac:dyDescent="0.2">
      <c r="A71" s="4"/>
      <c r="B71" s="208"/>
    </row>
    <row r="72" spans="1:9" x14ac:dyDescent="0.2">
      <c r="A72" s="4"/>
      <c r="B72" s="208"/>
    </row>
    <row r="73" spans="1:9" x14ac:dyDescent="0.2">
      <c r="A73" s="4"/>
      <c r="B73" s="208"/>
    </row>
    <row r="74" spans="1:9" x14ac:dyDescent="0.2">
      <c r="A74" s="7"/>
      <c r="B74" s="208"/>
    </row>
    <row r="75" spans="1:9" x14ac:dyDescent="0.2">
      <c r="A75" s="7"/>
      <c r="B75" s="208"/>
    </row>
    <row r="76" spans="1:9" x14ac:dyDescent="0.2">
      <c r="A76" s="4"/>
      <c r="B76" s="208"/>
    </row>
    <row r="77" spans="1:9" x14ac:dyDescent="0.2">
      <c r="A77" s="4"/>
      <c r="B77" s="208"/>
    </row>
    <row r="78" spans="1:9" x14ac:dyDescent="0.2">
      <c r="A78" s="4"/>
      <c r="B78" s="208"/>
    </row>
    <row r="79" spans="1:9" x14ac:dyDescent="0.2">
      <c r="A79" s="4"/>
      <c r="B79" s="208"/>
    </row>
    <row r="80" spans="1:9" x14ac:dyDescent="0.2">
      <c r="A80" s="4"/>
      <c r="B80" s="208"/>
    </row>
    <row r="81" spans="1:2" x14ac:dyDescent="0.2">
      <c r="B81" s="208"/>
    </row>
    <row r="82" spans="1:2" x14ac:dyDescent="0.2">
      <c r="A82" s="9"/>
      <c r="B82" s="209"/>
    </row>
    <row r="83" spans="1:2" x14ac:dyDescent="0.2">
      <c r="A83" s="9"/>
      <c r="B83" s="208"/>
    </row>
    <row r="85" spans="1:2" x14ac:dyDescent="0.2">
      <c r="A85" s="9"/>
    </row>
  </sheetData>
  <mergeCells count="2">
    <mergeCell ref="A1:C1"/>
    <mergeCell ref="A23:C23"/>
  </mergeCells>
  <printOptions horizontalCentered="1"/>
  <pageMargins left="0" right="0" top="1.5748031496062993" bottom="0.39370078740157483" header="0.11811023622047245" footer="0.51181102362204722"/>
  <pageSetup paperSize="9" orientation="portrait" r:id="rId1"/>
  <headerFooter scaleWithDoc="0">
    <oddHeader>&amp;C&amp;G</oddHead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5"/>
  <sheetViews>
    <sheetView zoomScaleNormal="100" workbookViewId="0">
      <selection activeCell="F5" sqref="F5"/>
    </sheetView>
  </sheetViews>
  <sheetFormatPr defaultColWidth="8.85546875" defaultRowHeight="12.75" x14ac:dyDescent="0.2"/>
  <cols>
    <col min="1" max="1" width="58.85546875" customWidth="1"/>
    <col min="2" max="2" width="19.85546875" style="2" customWidth="1"/>
    <col min="3" max="3" width="13.28515625" bestFit="1" customWidth="1"/>
    <col min="4" max="4" width="22.42578125" customWidth="1"/>
  </cols>
  <sheetData>
    <row r="1" spans="1:4" ht="27" customHeight="1" x14ac:dyDescent="0.4">
      <c r="A1" s="276" t="s">
        <v>83</v>
      </c>
      <c r="B1" s="277"/>
      <c r="C1" s="278"/>
      <c r="D1" s="99"/>
    </row>
    <row r="2" spans="1:4" ht="16.5" customHeight="1" x14ac:dyDescent="0.2">
      <c r="A2" s="299" t="s">
        <v>84</v>
      </c>
      <c r="B2" s="298"/>
      <c r="C2" s="1"/>
      <c r="D2" s="1"/>
    </row>
    <row r="3" spans="1:4" x14ac:dyDescent="0.2">
      <c r="A3" s="61"/>
      <c r="B3" s="48" t="s">
        <v>223</v>
      </c>
      <c r="C3" s="89" t="s">
        <v>152</v>
      </c>
      <c r="D3" s="89" t="s">
        <v>238</v>
      </c>
    </row>
    <row r="4" spans="1:4" s="114" customFormat="1" ht="30" x14ac:dyDescent="0.25">
      <c r="A4" s="112" t="s">
        <v>265</v>
      </c>
      <c r="B4" s="116" t="s">
        <v>266</v>
      </c>
      <c r="C4" s="115" t="s">
        <v>267</v>
      </c>
      <c r="D4" s="113" t="s">
        <v>274</v>
      </c>
    </row>
    <row r="5" spans="1:4" ht="30" x14ac:dyDescent="0.2">
      <c r="A5" s="62" t="s">
        <v>130</v>
      </c>
      <c r="B5" s="72" t="s">
        <v>224</v>
      </c>
      <c r="C5" s="72" t="s">
        <v>225</v>
      </c>
      <c r="D5" s="72" t="s">
        <v>239</v>
      </c>
    </row>
    <row r="6" spans="1:4" ht="33.75" customHeight="1" x14ac:dyDescent="0.2">
      <c r="A6" s="91" t="s">
        <v>198</v>
      </c>
      <c r="B6" s="72" t="s">
        <v>156</v>
      </c>
      <c r="C6" s="72" t="s">
        <v>126</v>
      </c>
      <c r="D6" s="72" t="s">
        <v>257</v>
      </c>
    </row>
    <row r="7" spans="1:4" ht="33.75" customHeight="1" x14ac:dyDescent="0.2">
      <c r="A7" s="62" t="s">
        <v>132</v>
      </c>
      <c r="B7" s="72" t="s">
        <v>157</v>
      </c>
      <c r="C7" s="72" t="s">
        <v>133</v>
      </c>
      <c r="D7" s="72" t="s">
        <v>240</v>
      </c>
    </row>
    <row r="8" spans="1:4" ht="28.5" x14ac:dyDescent="0.2">
      <c r="A8" s="91" t="s">
        <v>199</v>
      </c>
      <c r="B8" s="339" t="s">
        <v>188</v>
      </c>
      <c r="C8" s="340"/>
      <c r="D8" s="109"/>
    </row>
    <row r="9" spans="1:4" ht="32.25" customHeight="1" x14ac:dyDescent="0.2">
      <c r="A9" s="62" t="s">
        <v>85</v>
      </c>
      <c r="B9" s="72" t="s">
        <v>235</v>
      </c>
      <c r="C9" s="72" t="s">
        <v>234</v>
      </c>
      <c r="D9" s="72" t="s">
        <v>258</v>
      </c>
    </row>
    <row r="10" spans="1:4" ht="15" x14ac:dyDescent="0.2">
      <c r="A10" s="62" t="s">
        <v>86</v>
      </c>
      <c r="B10" s="339" t="s">
        <v>189</v>
      </c>
      <c r="C10" s="340"/>
      <c r="D10" s="109"/>
    </row>
    <row r="11" spans="1:4" ht="29.25" customHeight="1" x14ac:dyDescent="0.2">
      <c r="A11" s="91" t="s">
        <v>200</v>
      </c>
      <c r="B11" s="72" t="s">
        <v>159</v>
      </c>
      <c r="C11" s="72" t="s">
        <v>160</v>
      </c>
      <c r="D11" s="72"/>
    </row>
    <row r="12" spans="1:4" ht="30" x14ac:dyDescent="0.2">
      <c r="A12" s="62" t="s">
        <v>87</v>
      </c>
      <c r="B12" s="72" t="s">
        <v>161</v>
      </c>
      <c r="C12" s="72" t="s">
        <v>162</v>
      </c>
      <c r="D12" s="111" t="s">
        <v>242</v>
      </c>
    </row>
    <row r="13" spans="1:4" ht="30" x14ac:dyDescent="0.2">
      <c r="A13" s="62" t="s">
        <v>153</v>
      </c>
      <c r="B13" s="72" t="s">
        <v>226</v>
      </c>
      <c r="C13" s="72" t="s">
        <v>135</v>
      </c>
      <c r="D13" s="72" t="s">
        <v>243</v>
      </c>
    </row>
    <row r="14" spans="1:4" ht="45" x14ac:dyDescent="0.2">
      <c r="A14" s="62" t="s">
        <v>88</v>
      </c>
      <c r="B14" s="72" t="s">
        <v>163</v>
      </c>
      <c r="C14" s="72" t="s">
        <v>227</v>
      </c>
      <c r="D14" s="72" t="s">
        <v>244</v>
      </c>
    </row>
    <row r="15" spans="1:4" ht="32.25" customHeight="1" x14ac:dyDescent="0.2">
      <c r="A15" s="91" t="s">
        <v>201</v>
      </c>
      <c r="B15" s="72" t="s">
        <v>156</v>
      </c>
      <c r="C15" s="72" t="s">
        <v>126</v>
      </c>
      <c r="D15" s="72" t="s">
        <v>257</v>
      </c>
    </row>
    <row r="16" spans="1:4" ht="30.75" customHeight="1" x14ac:dyDescent="0.2">
      <c r="A16" s="91" t="s">
        <v>202</v>
      </c>
      <c r="B16" s="72" t="s">
        <v>156</v>
      </c>
      <c r="C16" s="72" t="s">
        <v>126</v>
      </c>
      <c r="D16" s="72" t="s">
        <v>257</v>
      </c>
    </row>
    <row r="17" spans="1:4" ht="30.75" customHeight="1" x14ac:dyDescent="0.2">
      <c r="A17" s="91" t="s">
        <v>203</v>
      </c>
      <c r="B17" s="72" t="s">
        <v>156</v>
      </c>
      <c r="C17" s="72" t="s">
        <v>126</v>
      </c>
      <c r="D17" s="72" t="s">
        <v>257</v>
      </c>
    </row>
    <row r="18" spans="1:4" ht="30.75" customHeight="1" x14ac:dyDescent="0.2">
      <c r="A18" s="62" t="s">
        <v>89</v>
      </c>
      <c r="B18" s="72" t="s">
        <v>156</v>
      </c>
      <c r="C18" s="72" t="s">
        <v>126</v>
      </c>
      <c r="D18" s="72" t="s">
        <v>257</v>
      </c>
    </row>
    <row r="19" spans="1:4" ht="30" x14ac:dyDescent="0.2">
      <c r="A19" s="91" t="s">
        <v>204</v>
      </c>
      <c r="B19" s="72" t="s">
        <v>165</v>
      </c>
      <c r="C19" s="72" t="s">
        <v>127</v>
      </c>
      <c r="D19" s="111" t="s">
        <v>245</v>
      </c>
    </row>
    <row r="20" spans="1:4" ht="31.5" customHeight="1" x14ac:dyDescent="0.2">
      <c r="A20" s="91" t="s">
        <v>246</v>
      </c>
      <c r="B20" s="72" t="s">
        <v>166</v>
      </c>
      <c r="C20" s="72" t="s">
        <v>131</v>
      </c>
      <c r="D20" s="72" t="s">
        <v>247</v>
      </c>
    </row>
    <row r="21" spans="1:4" ht="15" x14ac:dyDescent="0.2">
      <c r="A21" s="62" t="s">
        <v>90</v>
      </c>
      <c r="B21" s="341" t="s">
        <v>167</v>
      </c>
      <c r="C21" s="343"/>
      <c r="D21" s="110"/>
    </row>
    <row r="22" spans="1:4" ht="15" x14ac:dyDescent="0.2">
      <c r="A22" s="62" t="s">
        <v>91</v>
      </c>
      <c r="B22" s="339" t="s">
        <v>167</v>
      </c>
      <c r="C22" s="340"/>
      <c r="D22" s="109"/>
    </row>
    <row r="23" spans="1:4" ht="35.25" customHeight="1" x14ac:dyDescent="0.2">
      <c r="A23" s="62" t="s">
        <v>92</v>
      </c>
      <c r="B23" s="72" t="s">
        <v>235</v>
      </c>
      <c r="C23" s="72" t="s">
        <v>234</v>
      </c>
      <c r="D23" s="72" t="s">
        <v>258</v>
      </c>
    </row>
    <row r="24" spans="1:4" ht="30" x14ac:dyDescent="0.2">
      <c r="A24" s="91" t="s">
        <v>205</v>
      </c>
      <c r="B24" s="72" t="s">
        <v>168</v>
      </c>
      <c r="C24" s="72" t="s">
        <v>134</v>
      </c>
      <c r="D24" s="72" t="s">
        <v>248</v>
      </c>
    </row>
    <row r="25" spans="1:4" ht="30" x14ac:dyDescent="0.2">
      <c r="A25" s="62" t="s">
        <v>93</v>
      </c>
      <c r="B25" s="72" t="s">
        <v>226</v>
      </c>
      <c r="C25" s="72" t="s">
        <v>135</v>
      </c>
      <c r="D25" s="72" t="s">
        <v>243</v>
      </c>
    </row>
    <row r="26" spans="1:4" ht="33" customHeight="1" x14ac:dyDescent="0.2">
      <c r="A26" s="62" t="s">
        <v>154</v>
      </c>
      <c r="B26" s="75" t="s">
        <v>166</v>
      </c>
      <c r="C26" s="75" t="s">
        <v>131</v>
      </c>
      <c r="D26" s="111" t="s">
        <v>242</v>
      </c>
    </row>
    <row r="27" spans="1:4" ht="30" x14ac:dyDescent="0.2">
      <c r="A27" s="62" t="s">
        <v>128</v>
      </c>
      <c r="B27" s="72" t="s">
        <v>170</v>
      </c>
      <c r="C27" s="72" t="s">
        <v>169</v>
      </c>
      <c r="D27" s="72" t="s">
        <v>249</v>
      </c>
    </row>
    <row r="28" spans="1:4" ht="15" x14ac:dyDescent="0.2">
      <c r="A28" s="62" t="s">
        <v>94</v>
      </c>
      <c r="B28" s="339" t="s">
        <v>167</v>
      </c>
      <c r="C28" s="340"/>
      <c r="D28" s="109"/>
    </row>
    <row r="29" spans="1:4" ht="30" x14ac:dyDescent="0.2">
      <c r="A29" s="62" t="s">
        <v>95</v>
      </c>
      <c r="B29" s="72" t="s">
        <v>171</v>
      </c>
      <c r="C29" s="72" t="s">
        <v>172</v>
      </c>
      <c r="D29" s="72" t="s">
        <v>250</v>
      </c>
    </row>
    <row r="30" spans="1:4" ht="30" x14ac:dyDescent="0.2">
      <c r="A30" s="62" t="s">
        <v>173</v>
      </c>
      <c r="B30" s="72" t="s">
        <v>177</v>
      </c>
      <c r="C30" s="72" t="s">
        <v>178</v>
      </c>
      <c r="D30" s="72" t="s">
        <v>259</v>
      </c>
    </row>
    <row r="31" spans="1:4" ht="30" x14ac:dyDescent="0.2">
      <c r="A31" s="91" t="s">
        <v>206</v>
      </c>
      <c r="B31" s="72" t="s">
        <v>183</v>
      </c>
      <c r="C31" s="72" t="s">
        <v>184</v>
      </c>
      <c r="D31" s="72" t="s">
        <v>260</v>
      </c>
    </row>
    <row r="32" spans="1:4" ht="30" x14ac:dyDescent="0.2">
      <c r="A32" s="62" t="s">
        <v>96</v>
      </c>
      <c r="B32" s="72" t="s">
        <v>228</v>
      </c>
      <c r="C32" s="72" t="s">
        <v>129</v>
      </c>
      <c r="D32" s="72" t="s">
        <v>251</v>
      </c>
    </row>
    <row r="33" spans="1:4" s="96" customFormat="1" ht="30" x14ac:dyDescent="0.2">
      <c r="A33" s="94" t="s">
        <v>174</v>
      </c>
      <c r="B33" s="95" t="s">
        <v>181</v>
      </c>
      <c r="C33" s="95" t="s">
        <v>182</v>
      </c>
      <c r="D33" s="95" t="s">
        <v>261</v>
      </c>
    </row>
    <row r="34" spans="1:4" s="96" customFormat="1" ht="30" x14ac:dyDescent="0.2">
      <c r="A34" s="94" t="s">
        <v>175</v>
      </c>
      <c r="B34" s="95" t="s">
        <v>180</v>
      </c>
      <c r="C34" s="95" t="s">
        <v>126</v>
      </c>
      <c r="D34" s="95" t="s">
        <v>262</v>
      </c>
    </row>
    <row r="35" spans="1:4" s="96" customFormat="1" ht="30" x14ac:dyDescent="0.2">
      <c r="A35" s="94" t="s">
        <v>176</v>
      </c>
      <c r="B35" s="95" t="s">
        <v>179</v>
      </c>
      <c r="C35" s="95" t="s">
        <v>158</v>
      </c>
      <c r="D35" s="95" t="s">
        <v>263</v>
      </c>
    </row>
    <row r="36" spans="1:4" ht="30" x14ac:dyDescent="0.2">
      <c r="A36" s="62" t="s">
        <v>97</v>
      </c>
      <c r="B36" s="72" t="s">
        <v>231</v>
      </c>
      <c r="C36" s="72" t="s">
        <v>232</v>
      </c>
      <c r="D36" s="72" t="s">
        <v>241</v>
      </c>
    </row>
    <row r="37" spans="1:4" ht="30" x14ac:dyDescent="0.2">
      <c r="A37" s="91" t="s">
        <v>207</v>
      </c>
      <c r="B37" s="72" t="s">
        <v>168</v>
      </c>
      <c r="C37" s="72" t="s">
        <v>134</v>
      </c>
      <c r="D37" s="72" t="s">
        <v>250</v>
      </c>
    </row>
    <row r="38" spans="1:4" ht="50.25" customHeight="1" x14ac:dyDescent="0.2">
      <c r="A38" s="87" t="s">
        <v>120</v>
      </c>
      <c r="B38" s="88" t="s">
        <v>186</v>
      </c>
      <c r="C38" s="88" t="s">
        <v>185</v>
      </c>
      <c r="D38" s="111" t="s">
        <v>264</v>
      </c>
    </row>
    <row r="39" spans="1:4" ht="15" x14ac:dyDescent="0.2">
      <c r="A39" s="62" t="s">
        <v>98</v>
      </c>
      <c r="B39" s="341" t="s">
        <v>187</v>
      </c>
      <c r="C39" s="342"/>
      <c r="D39" s="343"/>
    </row>
    <row r="40" spans="1:4" ht="30" x14ac:dyDescent="0.2">
      <c r="A40" s="62" t="s">
        <v>155</v>
      </c>
      <c r="B40" s="72" t="s">
        <v>253</v>
      </c>
      <c r="C40" s="72" t="s">
        <v>254</v>
      </c>
      <c r="D40" s="72" t="s">
        <v>252</v>
      </c>
    </row>
    <row r="41" spans="1:4" ht="30" x14ac:dyDescent="0.2">
      <c r="A41" s="62" t="s">
        <v>99</v>
      </c>
      <c r="B41" s="72" t="s">
        <v>229</v>
      </c>
      <c r="C41" s="72" t="s">
        <v>230</v>
      </c>
      <c r="D41" s="72" t="s">
        <v>255</v>
      </c>
    </row>
    <row r="42" spans="1:4" ht="45.75" customHeight="1" x14ac:dyDescent="0.25">
      <c r="A42" s="91" t="s">
        <v>208</v>
      </c>
      <c r="B42" s="74" t="s">
        <v>190</v>
      </c>
      <c r="C42" s="74" t="s">
        <v>136</v>
      </c>
      <c r="D42" s="74" t="s">
        <v>256</v>
      </c>
    </row>
    <row r="43" spans="1:4" ht="30" x14ac:dyDescent="0.2">
      <c r="A43" s="62" t="s">
        <v>191</v>
      </c>
      <c r="B43" s="72" t="s">
        <v>164</v>
      </c>
      <c r="C43" s="72" t="s">
        <v>233</v>
      </c>
      <c r="D43" s="72" t="s">
        <v>251</v>
      </c>
    </row>
    <row r="44" spans="1:4" ht="15" x14ac:dyDescent="0.25">
      <c r="A44" s="63" t="s">
        <v>192</v>
      </c>
      <c r="B44" s="73"/>
      <c r="C44" s="1"/>
      <c r="D44" s="1"/>
    </row>
    <row r="45" spans="1:4" ht="15" x14ac:dyDescent="0.2">
      <c r="A45" s="63"/>
      <c r="B45" s="42"/>
      <c r="C45" s="1"/>
      <c r="D45" s="1"/>
    </row>
  </sheetData>
  <mergeCells count="8">
    <mergeCell ref="B22:C22"/>
    <mergeCell ref="B28:C28"/>
    <mergeCell ref="B39:D39"/>
    <mergeCell ref="A2:B2"/>
    <mergeCell ref="A1:C1"/>
    <mergeCell ref="B8:C8"/>
    <mergeCell ref="B10:C10"/>
    <mergeCell ref="B21:C21"/>
  </mergeCells>
  <printOptions horizontalCentered="1"/>
  <pageMargins left="3.937007874015748E-2" right="3.937007874015748E-2" top="1.7322834645669292" bottom="0.74803149606299213" header="0.31496062992125984" footer="0.31496062992125984"/>
  <pageSetup paperSize="9" orientation="portrait" r:id="rId1"/>
  <headerFooter scaleWithDoc="0">
    <oddHeader>&amp;C&amp;G</oddHead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4"/>
  <sheetViews>
    <sheetView workbookViewId="0">
      <selection activeCell="A2" sqref="A2:B2"/>
    </sheetView>
  </sheetViews>
  <sheetFormatPr defaultColWidth="8.85546875" defaultRowHeight="12.75" x14ac:dyDescent="0.2"/>
  <cols>
    <col min="1" max="1" width="72.7109375" customWidth="1"/>
    <col min="2" max="2" width="17.42578125" style="216" customWidth="1"/>
    <col min="3" max="3" width="76.85546875" customWidth="1"/>
    <col min="4" max="4" width="22.140625" customWidth="1"/>
  </cols>
  <sheetData>
    <row r="1" spans="1:4" ht="27" customHeight="1" x14ac:dyDescent="0.4">
      <c r="A1" s="279" t="s">
        <v>627</v>
      </c>
      <c r="B1" s="279"/>
      <c r="C1" s="279" t="s">
        <v>626</v>
      </c>
      <c r="D1" s="279"/>
    </row>
    <row r="2" spans="1:4" ht="16.5" customHeight="1" x14ac:dyDescent="0.2">
      <c r="A2" s="346" t="s">
        <v>100</v>
      </c>
      <c r="B2" s="346"/>
      <c r="C2" s="346" t="s">
        <v>100</v>
      </c>
      <c r="D2" s="346"/>
    </row>
    <row r="3" spans="1:4" ht="7.5" customHeight="1" x14ac:dyDescent="0.2">
      <c r="A3" s="64"/>
      <c r="B3" s="212"/>
      <c r="C3" s="64"/>
      <c r="D3" s="212"/>
    </row>
    <row r="4" spans="1:4" ht="15.75" customHeight="1" x14ac:dyDescent="0.2">
      <c r="A4" s="64" t="s">
        <v>219</v>
      </c>
      <c r="B4" s="213">
        <v>1900</v>
      </c>
      <c r="C4" s="64" t="s">
        <v>219</v>
      </c>
      <c r="D4" s="213">
        <v>1900</v>
      </c>
    </row>
    <row r="5" spans="1:4" ht="18" customHeight="1" x14ac:dyDescent="0.2">
      <c r="A5" s="64" t="s">
        <v>613</v>
      </c>
      <c r="B5" s="214" t="s">
        <v>612</v>
      </c>
      <c r="C5" s="64" t="s">
        <v>613</v>
      </c>
      <c r="D5" s="214" t="s">
        <v>612</v>
      </c>
    </row>
    <row r="6" spans="1:4" ht="27.75" customHeight="1" x14ac:dyDescent="0.2">
      <c r="A6" s="64" t="s">
        <v>614</v>
      </c>
      <c r="B6" s="214" t="s">
        <v>615</v>
      </c>
      <c r="C6" s="64" t="s">
        <v>614</v>
      </c>
      <c r="D6" s="214" t="s">
        <v>616</v>
      </c>
    </row>
    <row r="7" spans="1:4" ht="11.25" customHeight="1" x14ac:dyDescent="0.2">
      <c r="A7" s="344"/>
      <c r="B7" s="344"/>
      <c r="C7" s="344"/>
      <c r="D7" s="344"/>
    </row>
    <row r="8" spans="1:4" ht="15.75" customHeight="1" x14ac:dyDescent="0.2">
      <c r="A8" s="64" t="s">
        <v>101</v>
      </c>
      <c r="B8" s="213">
        <v>1500</v>
      </c>
      <c r="C8" s="64" t="s">
        <v>101</v>
      </c>
      <c r="D8" s="213">
        <v>1500</v>
      </c>
    </row>
    <row r="9" spans="1:4" ht="43.5" customHeight="1" x14ac:dyDescent="0.2">
      <c r="A9" s="64" t="s">
        <v>613</v>
      </c>
      <c r="B9" s="214" t="s">
        <v>612</v>
      </c>
      <c r="C9" s="64" t="s">
        <v>613</v>
      </c>
      <c r="D9" s="214" t="s">
        <v>612</v>
      </c>
    </row>
    <row r="10" spans="1:4" ht="15.75" x14ac:dyDescent="0.2">
      <c r="A10" s="64" t="s">
        <v>614</v>
      </c>
      <c r="B10" s="214" t="s">
        <v>615</v>
      </c>
      <c r="C10" s="64" t="s">
        <v>614</v>
      </c>
      <c r="D10" s="214" t="s">
        <v>616</v>
      </c>
    </row>
    <row r="11" spans="1:4" ht="10.5" customHeight="1" x14ac:dyDescent="0.2">
      <c r="A11" s="344"/>
      <c r="B11" s="344"/>
      <c r="C11" s="344"/>
      <c r="D11" s="344"/>
    </row>
    <row r="12" spans="1:4" ht="15.75" customHeight="1" x14ac:dyDescent="0.2">
      <c r="A12" s="64" t="s">
        <v>514</v>
      </c>
      <c r="B12" s="214" t="s">
        <v>220</v>
      </c>
      <c r="C12" s="64" t="s">
        <v>514</v>
      </c>
      <c r="D12" s="214" t="s">
        <v>617</v>
      </c>
    </row>
    <row r="13" spans="1:4" ht="15.75" x14ac:dyDescent="0.2">
      <c r="A13" s="64"/>
      <c r="B13" s="214"/>
      <c r="C13" s="64"/>
      <c r="D13" s="214"/>
    </row>
    <row r="14" spans="1:4" ht="15" x14ac:dyDescent="0.2">
      <c r="A14" s="344"/>
      <c r="B14" s="344"/>
      <c r="C14" s="344"/>
      <c r="D14" s="344"/>
    </row>
    <row r="15" spans="1:4" ht="10.5" customHeight="1" x14ac:dyDescent="0.2">
      <c r="A15" s="344"/>
      <c r="B15" s="344"/>
      <c r="C15" s="344"/>
      <c r="D15" s="344"/>
    </row>
    <row r="16" spans="1:4" ht="15.75" x14ac:dyDescent="0.2">
      <c r="A16" s="64" t="s">
        <v>516</v>
      </c>
      <c r="B16" s="215" t="s">
        <v>618</v>
      </c>
      <c r="C16" s="64" t="s">
        <v>516</v>
      </c>
      <c r="D16" s="215" t="s">
        <v>618</v>
      </c>
    </row>
    <row r="17" spans="1:4" ht="15.75" x14ac:dyDescent="0.2">
      <c r="A17" s="64"/>
      <c r="B17" s="215"/>
      <c r="C17" s="64"/>
      <c r="D17" s="215"/>
    </row>
    <row r="18" spans="1:4" ht="15.75" x14ac:dyDescent="0.2">
      <c r="A18" s="64" t="s">
        <v>221</v>
      </c>
      <c r="B18" s="215" t="s">
        <v>619</v>
      </c>
      <c r="C18" s="64" t="s">
        <v>221</v>
      </c>
      <c r="D18" s="215" t="s">
        <v>619</v>
      </c>
    </row>
    <row r="19" spans="1:4" ht="23.25" customHeight="1" x14ac:dyDescent="0.2">
      <c r="A19" s="64" t="s">
        <v>620</v>
      </c>
      <c r="B19" s="215" t="s">
        <v>621</v>
      </c>
      <c r="C19" s="64" t="s">
        <v>620</v>
      </c>
      <c r="D19" s="215" t="s">
        <v>621</v>
      </c>
    </row>
    <row r="20" spans="1:4" ht="16.5" customHeight="1" x14ac:dyDescent="0.2">
      <c r="A20" s="64" t="s">
        <v>102</v>
      </c>
      <c r="B20" s="271"/>
      <c r="C20" s="64" t="s">
        <v>102</v>
      </c>
      <c r="D20" s="271"/>
    </row>
    <row r="21" spans="1:4" ht="15.75" x14ac:dyDescent="0.25">
      <c r="A21" s="345" t="s">
        <v>622</v>
      </c>
      <c r="B21" s="345"/>
      <c r="C21" s="345" t="s">
        <v>622</v>
      </c>
      <c r="D21" s="345"/>
    </row>
    <row r="24" spans="1:4" ht="11.25" customHeight="1" x14ac:dyDescent="0.2"/>
  </sheetData>
  <mergeCells count="14">
    <mergeCell ref="A1:B1"/>
    <mergeCell ref="A21:B21"/>
    <mergeCell ref="A14:B14"/>
    <mergeCell ref="A7:B7"/>
    <mergeCell ref="A2:B2"/>
    <mergeCell ref="A11:B11"/>
    <mergeCell ref="A15:B15"/>
    <mergeCell ref="C11:D11"/>
    <mergeCell ref="C14:D14"/>
    <mergeCell ref="C15:D15"/>
    <mergeCell ref="C21:D21"/>
    <mergeCell ref="C1:D1"/>
    <mergeCell ref="C2:D2"/>
    <mergeCell ref="C7:D7"/>
  </mergeCells>
  <printOptions horizontalCentered="1"/>
  <pageMargins left="0" right="0" top="1.5748031496062993" bottom="0.39370078740157483" header="0.11811023622047245" footer="0.51181102362204722"/>
  <pageSetup paperSize="9" orientation="portrait" r:id="rId1"/>
  <headerFooter scaleWithDoc="0">
    <oddHeader>&amp;C&amp;G</oddHead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56"/>
  <sheetViews>
    <sheetView topLeftCell="A10" workbookViewId="0">
      <selection activeCell="A6" sqref="A6"/>
    </sheetView>
  </sheetViews>
  <sheetFormatPr defaultColWidth="8.85546875" defaultRowHeight="12.75" x14ac:dyDescent="0.2"/>
  <cols>
    <col min="1" max="1" width="71" customWidth="1"/>
    <col min="2" max="2" width="13.140625" style="2" customWidth="1"/>
    <col min="3" max="3" width="10.42578125" style="12" customWidth="1"/>
    <col min="4" max="4" width="36.42578125" bestFit="1" customWidth="1"/>
  </cols>
  <sheetData>
    <row r="1" spans="1:4" ht="32.25" customHeight="1" x14ac:dyDescent="0.4">
      <c r="A1" s="279" t="s">
        <v>352</v>
      </c>
      <c r="B1" s="279"/>
      <c r="C1" s="279"/>
    </row>
    <row r="2" spans="1:4" ht="16.5" customHeight="1" x14ac:dyDescent="0.4">
      <c r="A2" s="285"/>
      <c r="B2" s="286"/>
      <c r="C2" s="287"/>
    </row>
    <row r="3" spans="1:4" ht="15.75" x14ac:dyDescent="0.25">
      <c r="A3" s="39" t="s">
        <v>341</v>
      </c>
      <c r="B3" s="127" t="s">
        <v>238</v>
      </c>
      <c r="C3" s="128" t="s">
        <v>290</v>
      </c>
    </row>
    <row r="4" spans="1:4" ht="16.5" customHeight="1" x14ac:dyDescent="0.2">
      <c r="A4" s="10" t="s">
        <v>625</v>
      </c>
      <c r="B4" s="130"/>
      <c r="C4" s="124">
        <v>1800</v>
      </c>
    </row>
    <row r="5" spans="1:4" ht="16.5" customHeight="1" x14ac:dyDescent="0.2">
      <c r="A5" s="10" t="s">
        <v>342</v>
      </c>
      <c r="B5" s="130"/>
      <c r="C5" s="124">
        <v>100</v>
      </c>
    </row>
    <row r="6" spans="1:4" ht="16.5" customHeight="1" x14ac:dyDescent="0.2">
      <c r="A6" s="118" t="s">
        <v>344</v>
      </c>
      <c r="B6" s="130"/>
      <c r="C6" s="124">
        <f>SUM(C4:C5)</f>
        <v>1900</v>
      </c>
    </row>
    <row r="7" spans="1:4" ht="37.5" customHeight="1" x14ac:dyDescent="0.2">
      <c r="A7" s="68" t="s">
        <v>393</v>
      </c>
      <c r="B7" s="131">
        <f>((1.8*3)+(26*3))+((1971/900)*4)</f>
        <v>92.160000000000011</v>
      </c>
      <c r="C7" s="122"/>
      <c r="D7" s="69"/>
    </row>
    <row r="8" spans="1:4" ht="16.5" customHeight="1" x14ac:dyDescent="0.2">
      <c r="A8" s="68" t="s">
        <v>394</v>
      </c>
      <c r="B8" s="131">
        <v>20</v>
      </c>
      <c r="C8" s="122"/>
      <c r="D8" s="69"/>
    </row>
    <row r="9" spans="1:4" ht="16.5" customHeight="1" x14ac:dyDescent="0.2">
      <c r="A9" s="68" t="s">
        <v>405</v>
      </c>
      <c r="B9" s="131">
        <f>(1.353*8)*8</f>
        <v>86.591999999999999</v>
      </c>
      <c r="C9" s="122"/>
      <c r="D9" s="69"/>
    </row>
    <row r="10" spans="1:4" ht="16.5" customHeight="1" x14ac:dyDescent="0.2">
      <c r="A10" s="68" t="s">
        <v>395</v>
      </c>
      <c r="B10" s="132">
        <f>(100*1.9)</f>
        <v>190</v>
      </c>
      <c r="C10" s="122"/>
      <c r="D10" s="69"/>
    </row>
    <row r="11" spans="1:4" ht="16.5" customHeight="1" x14ac:dyDescent="0.2">
      <c r="A11" s="68" t="s">
        <v>406</v>
      </c>
      <c r="B11" s="132">
        <f>(27.5*8)*3</f>
        <v>660</v>
      </c>
      <c r="C11" s="122"/>
      <c r="D11" s="69"/>
    </row>
    <row r="12" spans="1:4" ht="16.5" customHeight="1" x14ac:dyDescent="0.2">
      <c r="A12" s="160" t="s">
        <v>426</v>
      </c>
      <c r="B12" s="200">
        <f>SUM(B7:B11)</f>
        <v>1048.752</v>
      </c>
      <c r="C12" s="122"/>
      <c r="D12" s="69"/>
    </row>
    <row r="13" spans="1:4" ht="16.5" customHeight="1" x14ac:dyDescent="0.2">
      <c r="A13" s="176" t="s">
        <v>437</v>
      </c>
      <c r="B13" s="132">
        <f>((B12)*10)/100</f>
        <v>104.87520000000001</v>
      </c>
      <c r="C13" s="122"/>
      <c r="D13" s="69"/>
    </row>
    <row r="14" spans="1:4" ht="16.5" customHeight="1" x14ac:dyDescent="0.2">
      <c r="A14" s="176" t="s">
        <v>438</v>
      </c>
      <c r="B14" s="122">
        <f>((B12)*5)/100</f>
        <v>52.437600000000003</v>
      </c>
      <c r="C14" s="122"/>
    </row>
    <row r="15" spans="1:4" ht="16.5" customHeight="1" x14ac:dyDescent="0.2">
      <c r="A15" s="135" t="s">
        <v>324</v>
      </c>
      <c r="B15" s="136">
        <f>SUM(B12:B14)</f>
        <v>1206.0647999999999</v>
      </c>
      <c r="C15" s="122"/>
      <c r="D15" s="140"/>
    </row>
    <row r="16" spans="1:4" ht="16.5" customHeight="1" x14ac:dyDescent="0.2">
      <c r="A16" s="175" t="s">
        <v>276</v>
      </c>
      <c r="B16" s="122">
        <f>C6*10/100</f>
        <v>190</v>
      </c>
      <c r="C16" s="122"/>
      <c r="D16" s="140"/>
    </row>
    <row r="17" spans="1:4" ht="16.5" customHeight="1" x14ac:dyDescent="0.2">
      <c r="A17" s="176" t="s">
        <v>428</v>
      </c>
      <c r="B17" s="161"/>
      <c r="C17" s="122"/>
      <c r="D17" s="140"/>
    </row>
    <row r="18" spans="1:4" ht="16.5" customHeight="1" x14ac:dyDescent="0.2">
      <c r="A18" s="177" t="s">
        <v>427</v>
      </c>
      <c r="B18" s="161">
        <f>SUM(B15:B17)</f>
        <v>1396.0647999999999</v>
      </c>
      <c r="C18" s="122"/>
      <c r="D18" s="140"/>
    </row>
    <row r="19" spans="1:4" ht="16.5" customHeight="1" x14ac:dyDescent="0.2">
      <c r="A19" s="139" t="s">
        <v>429</v>
      </c>
      <c r="B19" s="138">
        <f>C6-B18</f>
        <v>503.93520000000012</v>
      </c>
      <c r="C19" s="122"/>
    </row>
    <row r="20" spans="1:4" ht="9" customHeight="1" x14ac:dyDescent="0.2">
      <c r="A20" s="139"/>
      <c r="B20" s="138"/>
      <c r="C20" s="122"/>
    </row>
    <row r="21" spans="1:4" x14ac:dyDescent="0.2">
      <c r="A21" s="175" t="s">
        <v>441</v>
      </c>
      <c r="B21" s="129">
        <f>B18*130%</f>
        <v>1814.8842399999999</v>
      </c>
      <c r="C21" s="3"/>
    </row>
    <row r="22" spans="1:4" x14ac:dyDescent="0.2">
      <c r="A22" s="4"/>
      <c r="B22" s="5"/>
      <c r="C22" s="6"/>
    </row>
    <row r="23" spans="1:4" x14ac:dyDescent="0.2">
      <c r="A23" s="4"/>
      <c r="B23" s="5"/>
      <c r="C23" s="6"/>
    </row>
    <row r="24" spans="1:4" x14ac:dyDescent="0.2">
      <c r="A24" s="4"/>
      <c r="B24" s="5"/>
      <c r="C24" s="6"/>
    </row>
    <row r="25" spans="1:4" x14ac:dyDescent="0.2">
      <c r="A25" s="4"/>
      <c r="B25" s="5"/>
      <c r="C25" s="6"/>
    </row>
    <row r="26" spans="1:4" x14ac:dyDescent="0.2">
      <c r="A26" s="4"/>
      <c r="B26" s="5"/>
      <c r="C26" s="6"/>
    </row>
    <row r="27" spans="1:4" x14ac:dyDescent="0.2">
      <c r="A27" s="4"/>
      <c r="B27" s="5"/>
      <c r="C27" s="6"/>
    </row>
    <row r="28" spans="1:4" x14ac:dyDescent="0.2">
      <c r="A28" s="7"/>
      <c r="B28" s="5"/>
      <c r="C28" s="6"/>
    </row>
    <row r="29" spans="1:4" x14ac:dyDescent="0.2">
      <c r="A29" s="7"/>
      <c r="B29" s="5"/>
      <c r="C29" s="6"/>
    </row>
    <row r="30" spans="1:4" x14ac:dyDescent="0.2">
      <c r="A30" s="4"/>
      <c r="B30" s="5"/>
      <c r="C30" s="6"/>
    </row>
    <row r="31" spans="1:4" x14ac:dyDescent="0.2">
      <c r="A31" s="4"/>
      <c r="B31" s="5"/>
      <c r="C31" s="6"/>
    </row>
    <row r="32" spans="1:4" x14ac:dyDescent="0.2">
      <c r="A32" s="4"/>
      <c r="B32" s="5"/>
      <c r="C32" s="6"/>
    </row>
    <row r="33" spans="1:3" x14ac:dyDescent="0.2">
      <c r="A33" s="4"/>
      <c r="B33" s="5"/>
      <c r="C33" s="6"/>
    </row>
    <row r="34" spans="1:3" x14ac:dyDescent="0.2">
      <c r="A34" s="4"/>
      <c r="B34" s="5"/>
      <c r="C34" s="6"/>
    </row>
    <row r="35" spans="1:3" x14ac:dyDescent="0.2">
      <c r="A35" s="4"/>
      <c r="B35" s="5"/>
      <c r="C35" s="6"/>
    </row>
    <row r="36" spans="1:3" x14ac:dyDescent="0.2">
      <c r="A36" s="4"/>
      <c r="B36" s="5"/>
      <c r="C36" s="6"/>
    </row>
    <row r="37" spans="1:3" x14ac:dyDescent="0.2">
      <c r="A37" s="4"/>
      <c r="B37" s="5"/>
      <c r="C37" s="6"/>
    </row>
    <row r="38" spans="1:3" x14ac:dyDescent="0.2">
      <c r="A38" s="4"/>
      <c r="B38" s="5"/>
      <c r="C38" s="6"/>
    </row>
    <row r="39" spans="1:3" x14ac:dyDescent="0.2">
      <c r="A39" s="4"/>
      <c r="B39" s="5"/>
      <c r="C39" s="6"/>
    </row>
    <row r="40" spans="1:3" x14ac:dyDescent="0.2">
      <c r="A40" s="4"/>
      <c r="B40" s="5"/>
      <c r="C40" s="6"/>
    </row>
    <row r="41" spans="1:3" x14ac:dyDescent="0.2">
      <c r="A41" s="4"/>
      <c r="B41" s="5"/>
      <c r="C41" s="6"/>
    </row>
    <row r="42" spans="1:3" x14ac:dyDescent="0.2">
      <c r="A42" s="4"/>
      <c r="B42" s="5"/>
      <c r="C42" s="6"/>
    </row>
    <row r="43" spans="1:3" x14ac:dyDescent="0.2">
      <c r="A43" s="4"/>
      <c r="B43" s="5"/>
      <c r="C43" s="6"/>
    </row>
    <row r="44" spans="1:3" x14ac:dyDescent="0.2">
      <c r="A44" s="4"/>
      <c r="B44" s="5"/>
      <c r="C44" s="6"/>
    </row>
    <row r="45" spans="1:3" x14ac:dyDescent="0.2">
      <c r="A45" s="7"/>
      <c r="B45" s="5"/>
      <c r="C45" s="6"/>
    </row>
    <row r="46" spans="1:3" x14ac:dyDescent="0.2">
      <c r="A46" s="7"/>
      <c r="B46" s="5"/>
      <c r="C46" s="6"/>
    </row>
    <row r="47" spans="1:3" x14ac:dyDescent="0.2">
      <c r="A47" s="4"/>
      <c r="B47" s="5"/>
      <c r="C47" s="6"/>
    </row>
    <row r="48" spans="1:3" x14ac:dyDescent="0.2">
      <c r="A48" s="4"/>
      <c r="B48" s="5"/>
      <c r="C48" s="6"/>
    </row>
    <row r="49" spans="1:3" x14ac:dyDescent="0.2">
      <c r="A49" s="4"/>
      <c r="B49" s="5"/>
      <c r="C49" s="6"/>
    </row>
    <row r="50" spans="1:3" x14ac:dyDescent="0.2">
      <c r="A50" s="4"/>
      <c r="B50" s="8"/>
      <c r="C50" s="6"/>
    </row>
    <row r="51" spans="1:3" x14ac:dyDescent="0.2">
      <c r="A51" s="4"/>
      <c r="B51" s="8"/>
      <c r="C51" s="6"/>
    </row>
    <row r="52" spans="1:3" x14ac:dyDescent="0.2">
      <c r="B52" s="5"/>
      <c r="C52" s="6"/>
    </row>
    <row r="53" spans="1:3" x14ac:dyDescent="0.2">
      <c r="A53" s="9"/>
      <c r="B53" s="8"/>
      <c r="C53" s="13"/>
    </row>
    <row r="54" spans="1:3" x14ac:dyDescent="0.2">
      <c r="A54" s="9"/>
      <c r="B54" s="5"/>
      <c r="C54" s="6"/>
    </row>
    <row r="56" spans="1:3" x14ac:dyDescent="0.2">
      <c r="A56" s="9"/>
    </row>
  </sheetData>
  <mergeCells count="2">
    <mergeCell ref="A1:C1"/>
    <mergeCell ref="A2:C2"/>
  </mergeCells>
  <printOptions horizontalCentered="1"/>
  <pageMargins left="0.19685039370078741" right="0.11811023622047245" top="1.5354330708661419" bottom="0.74803149606299213" header="0.31496062992125984" footer="0.31496062992125984"/>
  <pageSetup paperSize="9" orientation="portrait" r:id="rId1"/>
  <headerFooter scaleWithDoc="0">
    <oddHeader>&amp;C&amp;G</oddHead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9"/>
  <sheetViews>
    <sheetView workbookViewId="0">
      <selection activeCell="D6" sqref="D6"/>
    </sheetView>
  </sheetViews>
  <sheetFormatPr defaultColWidth="8.85546875" defaultRowHeight="12.75" x14ac:dyDescent="0.2"/>
  <cols>
    <col min="1" max="1" width="72.7109375" bestFit="1" customWidth="1"/>
    <col min="2" max="2" width="23.5703125" style="2" customWidth="1"/>
  </cols>
  <sheetData>
    <row r="1" spans="1:2" ht="27" customHeight="1" x14ac:dyDescent="0.4">
      <c r="A1" s="279" t="s">
        <v>628</v>
      </c>
      <c r="B1" s="279"/>
    </row>
    <row r="2" spans="1:2" ht="52.5" customHeight="1" x14ac:dyDescent="0.2">
      <c r="A2" s="294" t="s">
        <v>103</v>
      </c>
      <c r="B2" s="281"/>
    </row>
    <row r="3" spans="1:2" ht="14.25" customHeight="1" x14ac:dyDescent="0.25">
      <c r="A3" s="65"/>
      <c r="B3" s="272" t="s">
        <v>623</v>
      </c>
    </row>
    <row r="4" spans="1:2" ht="16.5" customHeight="1" x14ac:dyDescent="0.2">
      <c r="A4" s="65"/>
      <c r="B4" s="66"/>
    </row>
    <row r="6" spans="1:2" ht="26.25" x14ac:dyDescent="0.4">
      <c r="A6" s="279" t="s">
        <v>104</v>
      </c>
      <c r="B6" s="279"/>
    </row>
    <row r="7" spans="1:2" ht="15.75" x14ac:dyDescent="0.25">
      <c r="A7" s="294" t="s">
        <v>624</v>
      </c>
      <c r="B7" s="281"/>
    </row>
    <row r="8" spans="1:2" ht="15" x14ac:dyDescent="0.2">
      <c r="A8" s="65"/>
      <c r="B8" s="66"/>
    </row>
    <row r="9" spans="1:2" ht="15" x14ac:dyDescent="0.2">
      <c r="A9" s="65"/>
      <c r="B9" s="66"/>
    </row>
  </sheetData>
  <mergeCells count="4">
    <mergeCell ref="A2:B2"/>
    <mergeCell ref="A6:B6"/>
    <mergeCell ref="A7:B7"/>
    <mergeCell ref="A1:B1"/>
  </mergeCells>
  <printOptions horizontalCentered="1"/>
  <pageMargins left="0" right="0" top="1.5748031496062993" bottom="0.39370078740157483" header="0.11811023622047245" footer="0.51181102362204722"/>
  <pageSetup paperSize="9" orientation="portrait" r:id="rId1"/>
  <headerFooter scaleWithDoc="0">
    <oddHeader>&amp;C&amp;G</oddHead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4"/>
  <sheetViews>
    <sheetView workbookViewId="0">
      <selection sqref="A1:C1"/>
    </sheetView>
  </sheetViews>
  <sheetFormatPr defaultColWidth="8.85546875" defaultRowHeight="12.75" x14ac:dyDescent="0.2"/>
  <cols>
    <col min="1" max="1" width="61.28515625" bestFit="1" customWidth="1"/>
    <col min="2" max="2" width="17.140625" style="2" customWidth="1"/>
    <col min="3" max="4" width="10.42578125" style="12" customWidth="1"/>
    <col min="5" max="5" width="36.42578125" bestFit="1" customWidth="1"/>
    <col min="6" max="6" width="14.7109375" bestFit="1" customWidth="1"/>
  </cols>
  <sheetData>
    <row r="1" spans="1:5" ht="32.25" customHeight="1" x14ac:dyDescent="0.4">
      <c r="A1" s="347" t="s">
        <v>353</v>
      </c>
      <c r="B1" s="347"/>
      <c r="C1" s="347"/>
      <c r="D1" s="180"/>
    </row>
    <row r="2" spans="1:5" ht="16.5" customHeight="1" x14ac:dyDescent="0.2">
      <c r="A2" s="348" t="s">
        <v>397</v>
      </c>
      <c r="B2" s="349"/>
      <c r="C2" s="350"/>
      <c r="D2" s="181"/>
    </row>
    <row r="3" spans="1:5" ht="15.75" x14ac:dyDescent="0.25">
      <c r="A3" s="39"/>
      <c r="B3" s="127" t="s">
        <v>238</v>
      </c>
      <c r="C3" s="128" t="s">
        <v>290</v>
      </c>
      <c r="D3" s="182"/>
    </row>
    <row r="4" spans="1:5" ht="16.5" customHeight="1" x14ac:dyDescent="0.2">
      <c r="A4" s="178" t="s">
        <v>396</v>
      </c>
      <c r="B4" s="97"/>
      <c r="C4" s="124">
        <v>7190</v>
      </c>
      <c r="D4" s="183"/>
    </row>
    <row r="5" spans="1:5" ht="16.5" customHeight="1" x14ac:dyDescent="0.2">
      <c r="A5" s="10"/>
      <c r="B5" s="130"/>
      <c r="C5" s="122"/>
      <c r="D5" s="146"/>
    </row>
    <row r="6" spans="1:5" ht="16.5" customHeight="1" x14ac:dyDescent="0.2">
      <c r="A6" s="10" t="s">
        <v>343</v>
      </c>
      <c r="B6" s="129"/>
      <c r="C6" s="122"/>
      <c r="D6" s="146"/>
    </row>
    <row r="7" spans="1:5" ht="16.5" customHeight="1" x14ac:dyDescent="0.2">
      <c r="A7" s="10" t="s">
        <v>276</v>
      </c>
      <c r="B7" s="129">
        <f>(C4*10)/100</f>
        <v>719</v>
      </c>
      <c r="C7" s="122"/>
      <c r="D7" s="146"/>
    </row>
    <row r="8" spans="1:5" ht="16.5" customHeight="1" x14ac:dyDescent="0.2">
      <c r="A8" s="68" t="s">
        <v>398</v>
      </c>
      <c r="B8" s="131">
        <f>G34+H34</f>
        <v>139</v>
      </c>
      <c r="C8" s="122"/>
      <c r="D8" s="146"/>
      <c r="E8" s="69"/>
    </row>
    <row r="9" spans="1:5" ht="16.5" customHeight="1" x14ac:dyDescent="0.2">
      <c r="A9" s="68" t="s">
        <v>399</v>
      </c>
      <c r="B9" s="131">
        <f>F34</f>
        <v>446.25</v>
      </c>
      <c r="C9" s="122"/>
      <c r="D9" s="146"/>
      <c r="E9" s="69"/>
    </row>
    <row r="10" spans="1:5" ht="16.5" customHeight="1" x14ac:dyDescent="0.2">
      <c r="A10" s="68" t="s">
        <v>349</v>
      </c>
      <c r="B10" s="131">
        <f>1.6*0.7*8</f>
        <v>8.9599999999999991</v>
      </c>
      <c r="C10" s="122"/>
      <c r="D10" s="146"/>
      <c r="E10" s="69"/>
    </row>
    <row r="11" spans="1:5" ht="16.5" customHeight="1" x14ac:dyDescent="0.2">
      <c r="A11" s="68" t="s">
        <v>350</v>
      </c>
      <c r="B11" s="131">
        <f>70*1.353</f>
        <v>94.71</v>
      </c>
      <c r="C11" s="122"/>
      <c r="D11" s="146"/>
      <c r="E11" s="69"/>
    </row>
    <row r="12" spans="1:5" ht="16.5" customHeight="1" x14ac:dyDescent="0.2">
      <c r="A12" s="68" t="s">
        <v>400</v>
      </c>
      <c r="B12" s="132">
        <f>(60*0.8)*10</f>
        <v>480</v>
      </c>
      <c r="C12" s="122"/>
      <c r="D12" s="146"/>
      <c r="E12" s="69"/>
    </row>
    <row r="13" spans="1:5" ht="16.5" customHeight="1" x14ac:dyDescent="0.2">
      <c r="A13" s="68" t="s">
        <v>401</v>
      </c>
      <c r="B13" s="132">
        <f>E34</f>
        <v>4125</v>
      </c>
      <c r="C13" s="122"/>
      <c r="D13" s="146"/>
      <c r="E13" s="69"/>
    </row>
    <row r="14" spans="1:5" ht="16.5" customHeight="1" x14ac:dyDescent="0.2">
      <c r="A14" s="68" t="s">
        <v>424</v>
      </c>
      <c r="B14" s="132">
        <f>(C4*6)/100</f>
        <v>431.4</v>
      </c>
      <c r="C14" s="122"/>
      <c r="D14" s="146"/>
      <c r="E14" s="69"/>
    </row>
    <row r="15" spans="1:5" ht="16.5" customHeight="1" x14ac:dyDescent="0.2">
      <c r="A15" s="10" t="s">
        <v>425</v>
      </c>
      <c r="B15" s="122">
        <f>(C4*3)/100</f>
        <v>215.7</v>
      </c>
      <c r="C15" s="122"/>
      <c r="D15" s="146"/>
    </row>
    <row r="16" spans="1:5" ht="16.5" customHeight="1" x14ac:dyDescent="0.2">
      <c r="A16" s="135" t="s">
        <v>324</v>
      </c>
      <c r="B16" s="136">
        <f>SUM(B7:B15)</f>
        <v>6660.0199999999995</v>
      </c>
      <c r="C16" s="122"/>
      <c r="D16" s="146"/>
      <c r="E16" s="140"/>
    </row>
    <row r="17" spans="1:8" ht="16.5" customHeight="1" x14ac:dyDescent="0.2">
      <c r="A17" s="139" t="s">
        <v>351</v>
      </c>
      <c r="B17" s="138">
        <f>C4-B16</f>
        <v>529.98000000000047</v>
      </c>
      <c r="C17" s="122"/>
      <c r="D17" s="146"/>
    </row>
    <row r="18" spans="1:8" ht="18" customHeight="1" x14ac:dyDescent="0.25">
      <c r="A18" s="119"/>
      <c r="B18" s="137"/>
      <c r="C18" s="122"/>
      <c r="D18" s="146"/>
    </row>
    <row r="19" spans="1:8" x14ac:dyDescent="0.2">
      <c r="A19" s="4"/>
      <c r="B19" s="5"/>
      <c r="C19" s="6"/>
      <c r="D19" s="6"/>
    </row>
    <row r="20" spans="1:8" ht="25.5" x14ac:dyDescent="0.2">
      <c r="A20" s="154"/>
      <c r="B20" s="155"/>
      <c r="C20" s="154"/>
      <c r="D20" s="154"/>
      <c r="E20" s="154" t="s">
        <v>345</v>
      </c>
      <c r="F20" s="155" t="s">
        <v>346</v>
      </c>
      <c r="G20" s="154" t="s">
        <v>347</v>
      </c>
      <c r="H20" s="154" t="s">
        <v>348</v>
      </c>
    </row>
    <row r="21" spans="1:8" x14ac:dyDescent="0.2">
      <c r="A21" s="156"/>
      <c r="B21" s="1"/>
      <c r="C21" s="1"/>
      <c r="D21" s="1"/>
      <c r="E21" s="156">
        <f>18-7.5-1</f>
        <v>9.5</v>
      </c>
      <c r="F21" s="1">
        <v>5</v>
      </c>
      <c r="G21" s="1">
        <v>2</v>
      </c>
      <c r="H21" s="1">
        <v>2</v>
      </c>
    </row>
    <row r="22" spans="1:8" x14ac:dyDescent="0.2">
      <c r="A22" s="157"/>
      <c r="B22" s="1"/>
      <c r="C22" s="1"/>
      <c r="D22" s="1"/>
      <c r="E22" s="157">
        <f>18-7.5-1</f>
        <v>9.5</v>
      </c>
      <c r="F22" s="1">
        <v>4</v>
      </c>
      <c r="G22" s="1">
        <v>2</v>
      </c>
      <c r="H22" s="1">
        <v>2</v>
      </c>
    </row>
    <row r="23" spans="1:8" x14ac:dyDescent="0.2">
      <c r="A23" s="157"/>
      <c r="B23" s="1"/>
      <c r="C23" s="1"/>
      <c r="D23" s="1"/>
      <c r="E23" s="157">
        <f>15-7.5-1</f>
        <v>6.5</v>
      </c>
      <c r="F23" s="1">
        <v>4</v>
      </c>
      <c r="G23" s="1">
        <v>4</v>
      </c>
      <c r="H23" s="1">
        <v>1</v>
      </c>
    </row>
    <row r="24" spans="1:8" x14ac:dyDescent="0.2">
      <c r="A24" s="158"/>
      <c r="B24" s="1"/>
      <c r="C24" s="1"/>
      <c r="D24" s="1"/>
      <c r="E24" s="158">
        <f>18.5-7.5-1</f>
        <v>10</v>
      </c>
      <c r="F24" s="1">
        <v>4</v>
      </c>
      <c r="G24" s="1">
        <v>4</v>
      </c>
      <c r="H24" s="1"/>
    </row>
    <row r="25" spans="1:8" x14ac:dyDescent="0.2">
      <c r="A25" s="157"/>
      <c r="B25" s="1"/>
      <c r="C25" s="1"/>
      <c r="D25" s="1"/>
      <c r="E25" s="157">
        <f>17-11-1</f>
        <v>5</v>
      </c>
      <c r="F25" s="1"/>
      <c r="G25" s="1">
        <v>1</v>
      </c>
      <c r="H25" s="1"/>
    </row>
    <row r="26" spans="1:8" x14ac:dyDescent="0.2">
      <c r="A26" s="157"/>
      <c r="B26" s="1"/>
      <c r="C26" s="1"/>
      <c r="D26" s="1"/>
      <c r="E26" s="157">
        <f>16-11-1</f>
        <v>4</v>
      </c>
      <c r="F26" s="1"/>
      <c r="G26" s="1"/>
      <c r="H26" s="1"/>
    </row>
    <row r="27" spans="1:8" x14ac:dyDescent="0.2">
      <c r="A27" s="157"/>
      <c r="B27" s="1"/>
      <c r="C27" s="1"/>
      <c r="D27" s="1"/>
      <c r="E27" s="157">
        <f>17.5-13</f>
        <v>4.5</v>
      </c>
      <c r="F27" s="1"/>
      <c r="G27" s="1"/>
      <c r="H27" s="1"/>
    </row>
    <row r="28" spans="1:8" x14ac:dyDescent="0.2">
      <c r="A28" s="157"/>
      <c r="B28" s="1"/>
      <c r="C28" s="1"/>
      <c r="D28" s="1"/>
      <c r="E28" s="157">
        <f>17.5-7.5-1</f>
        <v>9</v>
      </c>
      <c r="F28" s="1"/>
      <c r="G28" s="1"/>
      <c r="H28" s="1"/>
    </row>
    <row r="29" spans="1:8" x14ac:dyDescent="0.2">
      <c r="A29" s="1"/>
      <c r="B29" s="1"/>
      <c r="C29" s="1"/>
      <c r="D29" s="1"/>
      <c r="E29" s="1">
        <f>17.5-7.5-1</f>
        <v>9</v>
      </c>
      <c r="F29" s="1"/>
      <c r="G29" s="1"/>
      <c r="H29" s="1"/>
    </row>
    <row r="30" spans="1:8" x14ac:dyDescent="0.2">
      <c r="A30" s="157"/>
      <c r="B30" s="1"/>
      <c r="C30" s="1"/>
      <c r="D30" s="1"/>
      <c r="E30" s="157">
        <f>17-8-1</f>
        <v>8</v>
      </c>
      <c r="F30" s="1"/>
      <c r="G30" s="1"/>
      <c r="H30" s="1"/>
    </row>
    <row r="31" spans="1:8" s="153" customFormat="1" ht="3.75" customHeight="1" x14ac:dyDescent="0.2">
      <c r="A31" s="159"/>
      <c r="B31" s="41"/>
      <c r="C31" s="41"/>
      <c r="D31" s="41"/>
      <c r="E31" s="159"/>
      <c r="F31" s="41"/>
      <c r="G31" s="41"/>
      <c r="H31" s="41"/>
    </row>
    <row r="32" spans="1:8" x14ac:dyDescent="0.2">
      <c r="A32" s="157"/>
      <c r="B32" s="1"/>
      <c r="C32" s="1"/>
      <c r="D32" s="1"/>
      <c r="E32" s="157">
        <f>SUM(E21:E31)</f>
        <v>75</v>
      </c>
      <c r="F32" s="1">
        <f>SUM(F21:F31)</f>
        <v>17</v>
      </c>
      <c r="G32" s="1">
        <f>SUM(G21:G31)</f>
        <v>13</v>
      </c>
      <c r="H32" s="1">
        <f>SUM(H21:H31)</f>
        <v>5</v>
      </c>
    </row>
    <row r="33" spans="1:8" x14ac:dyDescent="0.2">
      <c r="A33" s="157"/>
      <c r="B33" s="1"/>
      <c r="C33" s="1"/>
      <c r="D33" s="1"/>
      <c r="E33" s="157">
        <f>E32*2</f>
        <v>150</v>
      </c>
      <c r="F33" s="1">
        <f>17*15</f>
        <v>255</v>
      </c>
      <c r="G33" s="1"/>
      <c r="H33" s="1"/>
    </row>
    <row r="34" spans="1:8" x14ac:dyDescent="0.2">
      <c r="A34" s="1"/>
      <c r="B34" s="1"/>
      <c r="C34" s="1"/>
      <c r="D34" s="1"/>
      <c r="E34" s="1">
        <f>27.5*E33</f>
        <v>4125</v>
      </c>
      <c r="F34" s="1">
        <f>1.75*F33</f>
        <v>446.25</v>
      </c>
      <c r="G34" s="1">
        <f>G32*10</f>
        <v>130</v>
      </c>
      <c r="H34" s="1">
        <f>1.8*H32</f>
        <v>9</v>
      </c>
    </row>
    <row r="35" spans="1:8" x14ac:dyDescent="0.2">
      <c r="A35" s="4"/>
      <c r="B35" s="5"/>
      <c r="C35" s="6"/>
      <c r="D35" s="6"/>
    </row>
    <row r="36" spans="1:8" ht="26.25" x14ac:dyDescent="0.4">
      <c r="A36" s="279" t="s">
        <v>423</v>
      </c>
      <c r="B36" s="279"/>
      <c r="C36" s="279"/>
      <c r="D36" s="6"/>
    </row>
    <row r="37" spans="1:8" x14ac:dyDescent="0.2">
      <c r="A37" s="348" t="s">
        <v>397</v>
      </c>
      <c r="B37" s="349"/>
      <c r="C37" s="350"/>
      <c r="D37" s="6"/>
    </row>
    <row r="38" spans="1:8" ht="15.75" x14ac:dyDescent="0.25">
      <c r="A38" s="39"/>
      <c r="B38" s="127" t="s">
        <v>238</v>
      </c>
      <c r="C38" s="128" t="s">
        <v>290</v>
      </c>
      <c r="D38" s="6"/>
    </row>
    <row r="39" spans="1:8" ht="15.75" x14ac:dyDescent="0.2">
      <c r="A39" s="178"/>
      <c r="B39" s="97"/>
      <c r="C39" s="124">
        <v>800</v>
      </c>
      <c r="D39" s="6"/>
    </row>
    <row r="40" spans="1:8" x14ac:dyDescent="0.2">
      <c r="A40" s="10"/>
      <c r="B40" s="130"/>
      <c r="C40" s="122"/>
      <c r="D40" s="6"/>
    </row>
    <row r="41" spans="1:8" x14ac:dyDescent="0.2">
      <c r="A41" s="10" t="s">
        <v>343</v>
      </c>
      <c r="B41" s="129"/>
      <c r="C41" s="122"/>
      <c r="D41" s="6"/>
    </row>
    <row r="42" spans="1:8" x14ac:dyDescent="0.2">
      <c r="A42" s="10" t="s">
        <v>276</v>
      </c>
      <c r="B42" s="129">
        <f>(C39*10)/100</f>
        <v>80</v>
      </c>
      <c r="C42" s="122"/>
      <c r="D42" s="6"/>
    </row>
    <row r="43" spans="1:8" x14ac:dyDescent="0.2">
      <c r="A43" s="68" t="s">
        <v>420</v>
      </c>
      <c r="B43" s="131">
        <v>50</v>
      </c>
      <c r="C43" s="122"/>
      <c r="D43" s="6"/>
    </row>
    <row r="44" spans="1:8" x14ac:dyDescent="0.2">
      <c r="A44" s="68" t="s">
        <v>421</v>
      </c>
      <c r="B44" s="131">
        <f>15*1.75</f>
        <v>26.25</v>
      </c>
      <c r="C44" s="122"/>
      <c r="D44" s="6"/>
    </row>
    <row r="45" spans="1:8" x14ac:dyDescent="0.2">
      <c r="A45" s="68" t="s">
        <v>349</v>
      </c>
      <c r="B45" s="131">
        <f>1.6*0.7*8</f>
        <v>8.9599999999999991</v>
      </c>
      <c r="C45" s="122"/>
      <c r="D45" s="6"/>
    </row>
    <row r="46" spans="1:8" x14ac:dyDescent="0.2">
      <c r="A46" s="68" t="s">
        <v>350</v>
      </c>
      <c r="B46" s="131">
        <v>20</v>
      </c>
      <c r="C46" s="122"/>
      <c r="D46" s="6"/>
    </row>
    <row r="47" spans="1:8" x14ac:dyDescent="0.2">
      <c r="A47" s="68" t="s">
        <v>400</v>
      </c>
      <c r="B47" s="132">
        <f>(60*0.8)</f>
        <v>48</v>
      </c>
      <c r="C47" s="122"/>
      <c r="D47" s="6"/>
    </row>
    <row r="48" spans="1:8" x14ac:dyDescent="0.2">
      <c r="A48" s="68" t="s">
        <v>422</v>
      </c>
      <c r="B48" s="132">
        <f>27.5*8*2</f>
        <v>440</v>
      </c>
      <c r="C48" s="122"/>
      <c r="D48" s="6"/>
    </row>
    <row r="49" spans="1:4" x14ac:dyDescent="0.2">
      <c r="A49" s="68" t="s">
        <v>281</v>
      </c>
      <c r="B49" s="132">
        <f>(C39*6)/100</f>
        <v>48</v>
      </c>
      <c r="C49" s="122"/>
      <c r="D49" s="6"/>
    </row>
    <row r="50" spans="1:4" x14ac:dyDescent="0.2">
      <c r="A50" s="10" t="s">
        <v>282</v>
      </c>
      <c r="B50" s="122">
        <f>(C39*3)/100</f>
        <v>24</v>
      </c>
      <c r="C50" s="122"/>
      <c r="D50" s="6"/>
    </row>
    <row r="51" spans="1:4" x14ac:dyDescent="0.2">
      <c r="A51" s="135" t="s">
        <v>324</v>
      </c>
      <c r="B51" s="136">
        <f>SUM(B42:B50)</f>
        <v>745.21</v>
      </c>
      <c r="C51" s="122"/>
      <c r="D51" s="13"/>
    </row>
    <row r="52" spans="1:4" x14ac:dyDescent="0.2">
      <c r="A52" s="139" t="s">
        <v>351</v>
      </c>
      <c r="B52" s="138">
        <f>C39-B51</f>
        <v>54.789999999999964</v>
      </c>
      <c r="C52" s="122"/>
      <c r="D52" s="6"/>
    </row>
    <row r="53" spans="1:4" ht="15.75" x14ac:dyDescent="0.25">
      <c r="A53" s="119"/>
      <c r="B53" s="137"/>
      <c r="C53" s="122"/>
    </row>
    <row r="54" spans="1:4" x14ac:dyDescent="0.2">
      <c r="A54" s="9"/>
    </row>
  </sheetData>
  <mergeCells count="4">
    <mergeCell ref="A1:C1"/>
    <mergeCell ref="A2:C2"/>
    <mergeCell ref="A36:C36"/>
    <mergeCell ref="A37:C37"/>
  </mergeCells>
  <printOptions horizontalCentered="1"/>
  <pageMargins left="0.19685039370078741" right="0.11811023622047245" top="1.5354330708661419" bottom="0.74803149606299213" header="0.31496062992125984" footer="0.31496062992125984"/>
  <pageSetup paperSize="9" orientation="portrait" r:id="rId1"/>
  <headerFooter scaleWithDoc="0">
    <oddHeader>&amp;C&amp;G</oddHead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60"/>
  <sheetViews>
    <sheetView workbookViewId="0">
      <selection activeCell="A7" sqref="A7"/>
    </sheetView>
  </sheetViews>
  <sheetFormatPr defaultColWidth="8.85546875" defaultRowHeight="12.75" x14ac:dyDescent="0.2"/>
  <cols>
    <col min="1" max="1" width="61.28515625" bestFit="1" customWidth="1"/>
    <col min="2" max="2" width="17.140625" style="2" customWidth="1"/>
    <col min="3" max="3" width="10.42578125" style="12" customWidth="1"/>
    <col min="4" max="4" width="36.42578125" bestFit="1" customWidth="1"/>
    <col min="6" max="6" width="61.28515625" bestFit="1" customWidth="1"/>
    <col min="7" max="7" width="17.140625" customWidth="1"/>
    <col min="8" max="8" width="10.42578125" customWidth="1"/>
  </cols>
  <sheetData>
    <row r="1" spans="1:6" ht="32.25" customHeight="1" x14ac:dyDescent="0.4">
      <c r="A1" s="279" t="s">
        <v>575</v>
      </c>
      <c r="B1" s="279"/>
      <c r="C1" s="279"/>
    </row>
    <row r="2" spans="1:6" ht="17.25" customHeight="1" x14ac:dyDescent="0.4">
      <c r="A2" s="285"/>
      <c r="B2" s="286"/>
      <c r="C2" s="287"/>
    </row>
    <row r="3" spans="1:6" ht="17.25" customHeight="1" x14ac:dyDescent="0.4">
      <c r="A3" s="218"/>
      <c r="B3" s="218"/>
      <c r="C3" s="218"/>
    </row>
    <row r="4" spans="1:6" ht="16.5" customHeight="1" x14ac:dyDescent="0.25">
      <c r="A4" s="220" t="s">
        <v>532</v>
      </c>
      <c r="B4" s="221">
        <v>0.15</v>
      </c>
      <c r="C4" s="220"/>
      <c r="D4" s="114"/>
    </row>
    <row r="5" spans="1:6" ht="16.5" customHeight="1" x14ac:dyDescent="0.25">
      <c r="A5" s="220" t="s">
        <v>531</v>
      </c>
      <c r="B5" s="221">
        <v>0.2</v>
      </c>
      <c r="C5" s="220"/>
      <c r="D5" s="114"/>
    </row>
    <row r="6" spans="1:6" ht="16.5" customHeight="1" x14ac:dyDescent="0.25">
      <c r="A6" s="220" t="s">
        <v>529</v>
      </c>
      <c r="B6" s="221">
        <v>0.3</v>
      </c>
      <c r="C6" s="220"/>
      <c r="D6" s="114"/>
    </row>
    <row r="7" spans="1:6" ht="16.5" customHeight="1" x14ac:dyDescent="0.25">
      <c r="A7" s="220" t="s">
        <v>530</v>
      </c>
      <c r="B7" s="221">
        <v>0.5</v>
      </c>
      <c r="C7" s="220"/>
      <c r="D7" s="114"/>
    </row>
    <row r="8" spans="1:6" ht="16.5" customHeight="1" x14ac:dyDescent="0.25">
      <c r="A8" s="220" t="s">
        <v>528</v>
      </c>
      <c r="B8" s="220"/>
      <c r="C8" s="220"/>
      <c r="D8" s="114"/>
    </row>
    <row r="9" spans="1:6" ht="16.5" customHeight="1" x14ac:dyDescent="0.25">
      <c r="A9" s="220" t="s">
        <v>533</v>
      </c>
      <c r="B9" s="220"/>
      <c r="C9" s="220"/>
      <c r="D9" s="114"/>
    </row>
    <row r="10" spans="1:6" ht="16.5" customHeight="1" x14ac:dyDescent="0.4">
      <c r="A10" s="218"/>
      <c r="B10" s="218"/>
      <c r="C10" s="218"/>
    </row>
    <row r="11" spans="1:6" ht="15" customHeight="1" x14ac:dyDescent="0.2">
      <c r="A11" s="160"/>
      <c r="B11" s="200"/>
      <c r="C11" s="122"/>
      <c r="D11" s="69"/>
      <c r="F11" s="147"/>
    </row>
    <row r="12" spans="1:6" ht="15" customHeight="1" x14ac:dyDescent="0.2">
      <c r="A12" s="68"/>
      <c r="B12" s="132"/>
      <c r="C12" s="122"/>
      <c r="D12" s="69"/>
      <c r="F12" s="69"/>
    </row>
    <row r="13" spans="1:6" ht="15" customHeight="1" x14ac:dyDescent="0.2">
      <c r="A13" s="10"/>
      <c r="B13" s="122"/>
      <c r="C13" s="122"/>
      <c r="F13" s="150"/>
    </row>
    <row r="14" spans="1:6" ht="15" customHeight="1" x14ac:dyDescent="0.2">
      <c r="A14" s="135"/>
      <c r="B14" s="136"/>
      <c r="C14" s="122"/>
      <c r="D14" s="140"/>
      <c r="F14" s="150"/>
    </row>
    <row r="15" spans="1:6" ht="15" customHeight="1" x14ac:dyDescent="0.2">
      <c r="A15" s="10"/>
      <c r="B15" s="129"/>
      <c r="C15" s="122"/>
      <c r="D15" s="140"/>
      <c r="F15" s="150"/>
    </row>
    <row r="16" spans="1:6" ht="15" customHeight="1" x14ac:dyDescent="0.2">
      <c r="A16" s="141"/>
      <c r="B16" s="129"/>
      <c r="C16" s="122"/>
      <c r="D16" s="140"/>
      <c r="F16" s="150"/>
    </row>
    <row r="17" spans="1:3" ht="15" customHeight="1" x14ac:dyDescent="0.2">
      <c r="A17" s="4"/>
      <c r="B17" s="5"/>
      <c r="C17" s="6"/>
    </row>
    <row r="18" spans="1:3" ht="15" customHeight="1" x14ac:dyDescent="0.2">
      <c r="A18" s="4"/>
      <c r="B18" s="5"/>
      <c r="C18" s="6"/>
    </row>
    <row r="19" spans="1:3" ht="15" customHeight="1" x14ac:dyDescent="0.2">
      <c r="A19" s="7"/>
      <c r="B19" s="5"/>
      <c r="C19" s="6"/>
    </row>
    <row r="20" spans="1:3" ht="15" customHeight="1" x14ac:dyDescent="0.2">
      <c r="A20" s="7"/>
      <c r="B20" s="5"/>
      <c r="C20" s="6"/>
    </row>
    <row r="21" spans="1:3" ht="15" customHeight="1" x14ac:dyDescent="0.2">
      <c r="A21" s="4"/>
      <c r="B21" s="5"/>
      <c r="C21" s="6"/>
    </row>
    <row r="22" spans="1:3" ht="15" customHeight="1" x14ac:dyDescent="0.2">
      <c r="A22" s="4"/>
      <c r="B22" s="5"/>
      <c r="C22" s="6"/>
    </row>
    <row r="23" spans="1:3" ht="15" customHeight="1" x14ac:dyDescent="0.2">
      <c r="A23" s="4"/>
      <c r="B23" s="5"/>
      <c r="C23" s="6"/>
    </row>
    <row r="24" spans="1:3" ht="15" customHeight="1" x14ac:dyDescent="0.2">
      <c r="A24" s="4"/>
      <c r="B24" s="5"/>
      <c r="C24" s="6"/>
    </row>
    <row r="25" spans="1:3" ht="15" customHeight="1" x14ac:dyDescent="0.2">
      <c r="A25" s="4"/>
      <c r="B25" s="5"/>
      <c r="C25" s="6"/>
    </row>
    <row r="26" spans="1:3" ht="15" customHeight="1" x14ac:dyDescent="0.2">
      <c r="A26" s="4"/>
      <c r="B26" s="5"/>
      <c r="C26" s="6"/>
    </row>
    <row r="27" spans="1:3" ht="15" customHeight="1" x14ac:dyDescent="0.2">
      <c r="A27" s="4"/>
      <c r="B27" s="5"/>
      <c r="C27" s="6"/>
    </row>
    <row r="28" spans="1:3" ht="15" customHeight="1" x14ac:dyDescent="0.2">
      <c r="A28" s="4"/>
      <c r="B28" s="5"/>
      <c r="C28" s="6"/>
    </row>
    <row r="29" spans="1:3" ht="15" customHeight="1" x14ac:dyDescent="0.2">
      <c r="A29" s="4"/>
      <c r="B29" s="5"/>
      <c r="C29" s="6"/>
    </row>
    <row r="30" spans="1:3" ht="15" customHeight="1" x14ac:dyDescent="0.2">
      <c r="A30" s="4"/>
      <c r="B30" s="5"/>
      <c r="C30" s="6"/>
    </row>
    <row r="31" spans="1:3" ht="15" customHeight="1" x14ac:dyDescent="0.2">
      <c r="A31" s="4"/>
      <c r="B31" s="5"/>
      <c r="C31" s="6"/>
    </row>
    <row r="32" spans="1:3" ht="15" customHeight="1" x14ac:dyDescent="0.2">
      <c r="A32" s="7"/>
      <c r="B32" s="5"/>
      <c r="C32" s="6"/>
    </row>
    <row r="33" spans="1:3" ht="15" customHeight="1" x14ac:dyDescent="0.2">
      <c r="A33" s="7"/>
      <c r="B33" s="5"/>
      <c r="C33" s="6"/>
    </row>
    <row r="34" spans="1:3" ht="15" customHeight="1" x14ac:dyDescent="0.2">
      <c r="A34" s="4"/>
      <c r="B34" s="5"/>
      <c r="C34" s="6"/>
    </row>
    <row r="35" spans="1:3" ht="15" customHeight="1" x14ac:dyDescent="0.2">
      <c r="A35" s="4"/>
      <c r="B35" s="5"/>
      <c r="C35" s="6"/>
    </row>
    <row r="36" spans="1:3" ht="15" customHeight="1" x14ac:dyDescent="0.2">
      <c r="A36" s="4"/>
      <c r="B36" s="5"/>
      <c r="C36" s="6"/>
    </row>
    <row r="37" spans="1:3" ht="16.5" customHeight="1" x14ac:dyDescent="0.2">
      <c r="A37" s="4"/>
      <c r="B37" s="5"/>
      <c r="C37" s="6"/>
    </row>
    <row r="38" spans="1:3" x14ac:dyDescent="0.2">
      <c r="A38" s="4"/>
      <c r="B38" s="5"/>
      <c r="C38" s="6"/>
    </row>
    <row r="39" spans="1:3" x14ac:dyDescent="0.2">
      <c r="A39" s="4"/>
      <c r="B39" s="5"/>
      <c r="C39" s="6"/>
    </row>
    <row r="40" spans="1:3" x14ac:dyDescent="0.2">
      <c r="A40" s="4"/>
      <c r="B40" s="5"/>
      <c r="C40" s="6"/>
    </row>
    <row r="41" spans="1:3" x14ac:dyDescent="0.2">
      <c r="A41" s="4"/>
      <c r="B41" s="5"/>
      <c r="C41" s="6"/>
    </row>
    <row r="42" spans="1:3" ht="60.75" customHeight="1" x14ac:dyDescent="0.2">
      <c r="A42" s="4"/>
      <c r="B42" s="5"/>
      <c r="C42" s="6"/>
    </row>
    <row r="43" spans="1:3" ht="15.75" customHeight="1" x14ac:dyDescent="0.2">
      <c r="A43" s="4"/>
      <c r="B43" s="5"/>
      <c r="C43" s="6"/>
    </row>
    <row r="44" spans="1:3" x14ac:dyDescent="0.2">
      <c r="A44" s="4"/>
      <c r="B44" s="5"/>
      <c r="C44" s="6"/>
    </row>
    <row r="45" spans="1:3" x14ac:dyDescent="0.2">
      <c r="A45" s="4"/>
      <c r="B45" s="5"/>
      <c r="C45" s="6"/>
    </row>
    <row r="46" spans="1:3" x14ac:dyDescent="0.2">
      <c r="A46" s="4"/>
      <c r="B46" s="5"/>
      <c r="C46" s="6"/>
    </row>
    <row r="47" spans="1:3" x14ac:dyDescent="0.2">
      <c r="A47" s="4"/>
      <c r="B47" s="5"/>
      <c r="C47" s="6"/>
    </row>
    <row r="48" spans="1:3" x14ac:dyDescent="0.2">
      <c r="A48" s="4"/>
      <c r="B48" s="5"/>
      <c r="C48" s="6"/>
    </row>
    <row r="49" spans="1:3" x14ac:dyDescent="0.2">
      <c r="A49" s="7"/>
      <c r="B49" s="5"/>
      <c r="C49" s="6"/>
    </row>
    <row r="50" spans="1:3" x14ac:dyDescent="0.2">
      <c r="A50" s="7"/>
      <c r="B50" s="5"/>
      <c r="C50" s="6"/>
    </row>
    <row r="51" spans="1:3" x14ac:dyDescent="0.2">
      <c r="A51" s="4"/>
      <c r="B51" s="5"/>
      <c r="C51" s="6"/>
    </row>
    <row r="52" spans="1:3" x14ac:dyDescent="0.2">
      <c r="A52" s="4"/>
      <c r="B52" s="5"/>
      <c r="C52" s="6"/>
    </row>
    <row r="53" spans="1:3" x14ac:dyDescent="0.2">
      <c r="A53" s="4"/>
      <c r="B53" s="5"/>
      <c r="C53" s="6"/>
    </row>
    <row r="54" spans="1:3" x14ac:dyDescent="0.2">
      <c r="A54" s="4"/>
      <c r="B54" s="8"/>
      <c r="C54" s="6"/>
    </row>
    <row r="55" spans="1:3" x14ac:dyDescent="0.2">
      <c r="A55" s="4"/>
      <c r="B55" s="8"/>
      <c r="C55" s="6"/>
    </row>
    <row r="56" spans="1:3" x14ac:dyDescent="0.2">
      <c r="B56" s="5"/>
      <c r="C56" s="6"/>
    </row>
    <row r="57" spans="1:3" x14ac:dyDescent="0.2">
      <c r="A57" s="9"/>
      <c r="B57" s="8"/>
      <c r="C57" s="13"/>
    </row>
    <row r="58" spans="1:3" x14ac:dyDescent="0.2">
      <c r="A58" s="9"/>
      <c r="B58" s="5"/>
      <c r="C58" s="6"/>
    </row>
    <row r="60" spans="1:3" x14ac:dyDescent="0.2">
      <c r="A60" s="9"/>
    </row>
  </sheetData>
  <mergeCells count="2">
    <mergeCell ref="A1:C1"/>
    <mergeCell ref="A2:C2"/>
  </mergeCells>
  <printOptions horizontalCentered="1"/>
  <pageMargins left="0.19685039370078741" right="0.11811023622047245" top="1.5354330708661419" bottom="0.74803149606299213" header="0.31496062992125984" footer="0.31496062992125984"/>
  <pageSetup paperSize="9" orientation="portrait" r:id="rId1"/>
  <headerFooter scaleWithDoc="0">
    <oddHeader>&amp;C&amp;G</oddHead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102"/>
  <sheetViews>
    <sheetView topLeftCell="A34" workbookViewId="0">
      <selection activeCell="D50" sqref="D50"/>
    </sheetView>
  </sheetViews>
  <sheetFormatPr defaultColWidth="8.85546875" defaultRowHeight="12.75" x14ac:dyDescent="0.2"/>
  <cols>
    <col min="1" max="1" width="73.42578125" customWidth="1"/>
    <col min="2" max="2" width="17.85546875" style="224" customWidth="1"/>
    <col min="3" max="3" width="2.85546875" style="12" customWidth="1"/>
    <col min="4" max="4" width="10.42578125" style="232" customWidth="1"/>
    <col min="5" max="5" width="8.85546875" style="235" customWidth="1"/>
    <col min="6" max="6" width="12.140625" style="265" customWidth="1"/>
    <col min="7" max="7" width="8.85546875" style="237" customWidth="1"/>
    <col min="8" max="9" width="12.7109375" style="227" customWidth="1"/>
    <col min="10" max="10" width="13.5703125" style="227" customWidth="1"/>
    <col min="11" max="11" width="12.42578125" style="227" customWidth="1"/>
    <col min="12" max="12" width="14.28515625" style="227" customWidth="1"/>
    <col min="13" max="14" width="12.7109375" style="227" customWidth="1"/>
    <col min="15" max="15" width="9.28515625" style="227" bestFit="1" customWidth="1"/>
    <col min="16" max="17" width="8.85546875" style="227"/>
    <col min="18" max="18" width="9.28515625" style="227" bestFit="1" customWidth="1"/>
    <col min="19" max="20" width="8.85546875" style="227"/>
  </cols>
  <sheetData>
    <row r="1" spans="1:20" ht="32.25" customHeight="1" x14ac:dyDescent="0.4">
      <c r="A1" s="351" t="s">
        <v>536</v>
      </c>
      <c r="B1" s="279"/>
      <c r="C1" s="279"/>
      <c r="D1" s="225" t="s">
        <v>238</v>
      </c>
      <c r="E1" s="233" t="s">
        <v>585</v>
      </c>
      <c r="F1" s="239" t="s">
        <v>582</v>
      </c>
      <c r="G1" s="262"/>
      <c r="H1" s="243"/>
      <c r="I1" s="245"/>
      <c r="J1" s="245"/>
      <c r="K1" s="245"/>
      <c r="L1" s="245"/>
      <c r="M1" s="245"/>
      <c r="N1" s="246"/>
      <c r="O1" s="246"/>
      <c r="P1" s="246"/>
      <c r="Q1" s="247"/>
    </row>
    <row r="2" spans="1:20" ht="17.25" customHeight="1" x14ac:dyDescent="0.4">
      <c r="A2" s="285"/>
      <c r="B2" s="286"/>
      <c r="C2" s="287"/>
      <c r="D2" s="231"/>
      <c r="E2" s="234">
        <v>0.3</v>
      </c>
      <c r="F2" s="236"/>
      <c r="G2" s="257"/>
      <c r="H2" s="248"/>
      <c r="I2" s="226"/>
      <c r="J2" s="226"/>
      <c r="K2" s="229" t="s">
        <v>586</v>
      </c>
      <c r="L2" s="226"/>
      <c r="M2" s="226"/>
      <c r="Q2" s="249"/>
    </row>
    <row r="3" spans="1:20" ht="15" customHeight="1" thickBot="1" x14ac:dyDescent="0.25">
      <c r="A3" s="222" t="s">
        <v>534</v>
      </c>
      <c r="B3" s="132"/>
      <c r="C3" s="122"/>
      <c r="D3" s="231"/>
      <c r="E3" s="234"/>
      <c r="F3" s="236"/>
      <c r="G3" s="258"/>
      <c r="H3" s="251"/>
      <c r="I3" s="261"/>
      <c r="J3" s="253"/>
      <c r="K3" s="253"/>
      <c r="L3" s="253"/>
      <c r="M3" s="253"/>
      <c r="N3" s="254"/>
      <c r="O3" s="254"/>
      <c r="P3" s="254"/>
      <c r="Q3" s="255"/>
    </row>
    <row r="4" spans="1:20" ht="15" customHeight="1" x14ac:dyDescent="0.2">
      <c r="A4" s="68" t="s">
        <v>577</v>
      </c>
      <c r="B4" s="132">
        <v>94.5</v>
      </c>
      <c r="C4" s="122"/>
      <c r="D4" s="231"/>
      <c r="E4" s="234"/>
      <c r="F4" s="236"/>
      <c r="G4" s="256"/>
      <c r="H4" s="243"/>
      <c r="I4" s="244"/>
      <c r="J4" s="245"/>
      <c r="K4" s="245"/>
      <c r="L4" s="245"/>
      <c r="M4" s="245"/>
      <c r="N4" s="246"/>
      <c r="O4" s="246"/>
      <c r="P4" s="246"/>
      <c r="Q4" s="247"/>
    </row>
    <row r="5" spans="1:20" ht="15" customHeight="1" x14ac:dyDescent="0.2">
      <c r="A5" s="10" t="s">
        <v>564</v>
      </c>
      <c r="B5" s="122">
        <v>0.16</v>
      </c>
      <c r="C5" s="122"/>
      <c r="D5" s="231">
        <v>3.5000000000000003E-2</v>
      </c>
      <c r="E5" s="234"/>
      <c r="F5" s="236"/>
      <c r="G5" s="257"/>
      <c r="H5" s="248"/>
      <c r="I5" s="230"/>
      <c r="J5" s="226"/>
      <c r="K5" s="226"/>
      <c r="L5" s="226"/>
      <c r="M5" s="226"/>
      <c r="Q5" s="249"/>
    </row>
    <row r="6" spans="1:20" ht="15" customHeight="1" x14ac:dyDescent="0.2">
      <c r="A6" s="141" t="s">
        <v>550</v>
      </c>
      <c r="B6" s="122">
        <v>180</v>
      </c>
      <c r="C6" s="122"/>
      <c r="D6" s="231"/>
      <c r="E6" s="234"/>
      <c r="F6" s="236"/>
      <c r="G6" s="257"/>
      <c r="H6" s="248"/>
      <c r="I6" s="230"/>
      <c r="J6" s="226"/>
      <c r="K6" s="226"/>
      <c r="L6" s="226"/>
      <c r="M6" s="226"/>
      <c r="Q6" s="249"/>
    </row>
    <row r="7" spans="1:20" ht="15" customHeight="1" x14ac:dyDescent="0.2">
      <c r="A7" s="139" t="s">
        <v>559</v>
      </c>
      <c r="B7" s="138">
        <v>0.38</v>
      </c>
      <c r="C7" s="122"/>
      <c r="D7" s="231">
        <v>0.35</v>
      </c>
      <c r="E7" s="234"/>
      <c r="F7" s="236"/>
      <c r="G7" s="257"/>
      <c r="H7" s="248"/>
      <c r="I7" s="230"/>
      <c r="J7" s="226"/>
      <c r="K7" s="226"/>
      <c r="L7" s="226"/>
      <c r="M7" s="226"/>
      <c r="Q7" s="249"/>
    </row>
    <row r="8" spans="1:20" ht="15" customHeight="1" x14ac:dyDescent="0.2">
      <c r="A8" s="139"/>
      <c r="B8" s="138"/>
      <c r="C8" s="122"/>
      <c r="D8" s="231"/>
      <c r="E8" s="234"/>
      <c r="F8" s="236"/>
      <c r="G8" s="257"/>
      <c r="H8" s="260" t="s">
        <v>592</v>
      </c>
      <c r="I8" s="228" t="s">
        <v>593</v>
      </c>
      <c r="J8" s="229" t="s">
        <v>591</v>
      </c>
      <c r="K8" s="226"/>
      <c r="L8" s="226"/>
      <c r="M8" s="226"/>
      <c r="Q8" s="249"/>
    </row>
    <row r="9" spans="1:20" ht="15" customHeight="1" x14ac:dyDescent="0.2">
      <c r="A9" s="135"/>
      <c r="B9" s="138"/>
      <c r="C9" s="122"/>
      <c r="D9" s="231"/>
      <c r="E9" s="234"/>
      <c r="F9" s="236"/>
      <c r="G9" s="257"/>
      <c r="H9" s="248">
        <f>27.5</f>
        <v>27.5</v>
      </c>
      <c r="I9" s="228">
        <v>10</v>
      </c>
      <c r="J9" s="226" t="s">
        <v>584</v>
      </c>
      <c r="K9" s="226"/>
      <c r="L9" s="226" t="s">
        <v>581</v>
      </c>
      <c r="M9" s="1">
        <v>0.15</v>
      </c>
      <c r="N9" s="1">
        <v>0.3</v>
      </c>
      <c r="O9" s="226"/>
      <c r="P9" s="226">
        <v>0</v>
      </c>
      <c r="Q9" s="250"/>
      <c r="R9" s="240"/>
      <c r="S9" s="226"/>
      <c r="T9" s="226"/>
    </row>
    <row r="10" spans="1:20" ht="15" customHeight="1" x14ac:dyDescent="0.2">
      <c r="A10" s="223" t="s">
        <v>535</v>
      </c>
      <c r="B10" s="138"/>
      <c r="C10" s="122"/>
      <c r="D10" s="231"/>
      <c r="E10" s="234"/>
      <c r="F10" s="236"/>
      <c r="G10" s="257"/>
      <c r="H10" s="260" t="s">
        <v>595</v>
      </c>
      <c r="I10" s="228" t="s">
        <v>594</v>
      </c>
      <c r="J10" s="229" t="s">
        <v>596</v>
      </c>
      <c r="K10" s="226" t="s">
        <v>583</v>
      </c>
      <c r="L10" s="226"/>
      <c r="M10" s="229" t="s">
        <v>590</v>
      </c>
      <c r="N10" s="229" t="s">
        <v>589</v>
      </c>
      <c r="O10" s="229" t="s">
        <v>587</v>
      </c>
      <c r="P10" s="229" t="s">
        <v>588</v>
      </c>
      <c r="Q10" s="250"/>
      <c r="R10" s="240"/>
      <c r="S10" s="226"/>
      <c r="T10" s="226"/>
    </row>
    <row r="11" spans="1:20" ht="15" customHeight="1" x14ac:dyDescent="0.2">
      <c r="A11" s="139" t="s">
        <v>537</v>
      </c>
      <c r="B11" s="138">
        <v>101.21</v>
      </c>
      <c r="C11" s="122"/>
      <c r="D11" s="231">
        <v>152</v>
      </c>
      <c r="E11" s="234">
        <f>D11*E2</f>
        <v>45.6</v>
      </c>
      <c r="F11" s="236">
        <f>SUM(D11:E11)</f>
        <v>197.6</v>
      </c>
      <c r="G11" s="257"/>
      <c r="H11" s="248">
        <f>H9*2</f>
        <v>55</v>
      </c>
      <c r="I11" s="228">
        <f>10/8</f>
        <v>1.25</v>
      </c>
      <c r="J11" s="226">
        <f>1.9*40</f>
        <v>76</v>
      </c>
      <c r="K11" s="226">
        <v>0</v>
      </c>
      <c r="L11" s="259">
        <f t="shared" ref="L11:L16" si="0">SUM(H11:K11)</f>
        <v>132.25</v>
      </c>
      <c r="M11" s="226">
        <f>L11*15%</f>
        <v>19.837499999999999</v>
      </c>
      <c r="N11" s="226">
        <v>0</v>
      </c>
      <c r="O11" s="226">
        <f>L11+M11+N11</f>
        <v>152.08750000000001</v>
      </c>
      <c r="P11" s="226"/>
      <c r="Q11" s="250"/>
      <c r="R11" s="240"/>
      <c r="S11" s="226"/>
      <c r="T11" s="226"/>
    </row>
    <row r="12" spans="1:20" ht="15" customHeight="1" x14ac:dyDescent="0.2">
      <c r="A12" s="139" t="s">
        <v>538</v>
      </c>
      <c r="B12" s="138">
        <v>134.75</v>
      </c>
      <c r="C12" s="122"/>
      <c r="D12" s="238">
        <v>171.06</v>
      </c>
      <c r="E12" s="234">
        <f>D12*E2</f>
        <v>51.317999999999998</v>
      </c>
      <c r="F12" s="236">
        <f>SUM(D12:E12)</f>
        <v>222.37799999999999</v>
      </c>
      <c r="G12" s="257"/>
      <c r="H12" s="248">
        <f>H11*130%</f>
        <v>71.5</v>
      </c>
      <c r="I12" s="229">
        <v>1.25</v>
      </c>
      <c r="J12" s="226">
        <f>1.9*40</f>
        <v>76</v>
      </c>
      <c r="K12" s="226">
        <v>0</v>
      </c>
      <c r="L12" s="259">
        <f t="shared" si="0"/>
        <v>148.75</v>
      </c>
      <c r="M12" s="226">
        <f>L12*15%</f>
        <v>22.3125</v>
      </c>
      <c r="N12" s="226">
        <v>0</v>
      </c>
      <c r="O12" s="226">
        <f>SUM(L12:N12)</f>
        <v>171.0625</v>
      </c>
      <c r="P12" s="226"/>
      <c r="Q12" s="250"/>
      <c r="R12" s="240"/>
      <c r="S12" s="226"/>
      <c r="T12" s="226"/>
    </row>
    <row r="13" spans="1:20" ht="15" customHeight="1" x14ac:dyDescent="0.2">
      <c r="A13" s="139" t="s">
        <v>597</v>
      </c>
      <c r="B13" s="138">
        <v>98</v>
      </c>
      <c r="C13" s="122"/>
      <c r="D13" s="231">
        <v>129.09</v>
      </c>
      <c r="E13" s="234">
        <f>D13*E2</f>
        <v>38.726999999999997</v>
      </c>
      <c r="F13" s="236">
        <f>D13+E13</f>
        <v>167.81700000000001</v>
      </c>
      <c r="G13" s="257"/>
      <c r="H13" s="248">
        <f>H9*2</f>
        <v>55</v>
      </c>
      <c r="I13" s="230">
        <v>1.25</v>
      </c>
      <c r="J13" s="226">
        <f>1.4*40</f>
        <v>56</v>
      </c>
      <c r="K13" s="226">
        <v>0</v>
      </c>
      <c r="L13" s="226">
        <f t="shared" si="0"/>
        <v>112.25</v>
      </c>
      <c r="M13" s="226">
        <f>L13*M9</f>
        <v>16.837499999999999</v>
      </c>
      <c r="N13" s="226"/>
      <c r="O13" s="226">
        <f>L13+M13</f>
        <v>129.08750000000001</v>
      </c>
      <c r="P13" s="226"/>
      <c r="Q13" s="250"/>
      <c r="R13" s="240"/>
      <c r="S13" s="226"/>
      <c r="T13" s="226"/>
    </row>
    <row r="14" spans="1:20" ht="15" customHeight="1" x14ac:dyDescent="0.2">
      <c r="A14" s="139" t="s">
        <v>539</v>
      </c>
      <c r="B14" s="138">
        <v>132.84</v>
      </c>
      <c r="C14" s="122"/>
      <c r="D14" s="231">
        <v>148.06</v>
      </c>
      <c r="E14" s="234">
        <f>D14*E2</f>
        <v>44.417999999999999</v>
      </c>
      <c r="F14" s="236">
        <f>D14+E14</f>
        <v>192.47800000000001</v>
      </c>
      <c r="G14" s="257"/>
      <c r="H14" s="248">
        <f>(H9*2)*130%</f>
        <v>71.5</v>
      </c>
      <c r="I14" s="230">
        <v>1.25</v>
      </c>
      <c r="J14" s="226">
        <f>1.4*40</f>
        <v>56</v>
      </c>
      <c r="K14" s="226">
        <v>0</v>
      </c>
      <c r="L14" s="226">
        <f t="shared" si="0"/>
        <v>128.75</v>
      </c>
      <c r="M14" s="226">
        <f>L14*M9</f>
        <v>19.3125</v>
      </c>
      <c r="N14" s="226"/>
      <c r="O14" s="226">
        <f>SUM(L14:N14)</f>
        <v>148.0625</v>
      </c>
      <c r="P14" s="226"/>
      <c r="Q14" s="250"/>
      <c r="R14" s="240"/>
      <c r="S14" s="226"/>
      <c r="T14" s="226"/>
    </row>
    <row r="15" spans="1:20" ht="15" customHeight="1" x14ac:dyDescent="0.2">
      <c r="A15" s="139" t="s">
        <v>598</v>
      </c>
      <c r="B15" s="138">
        <v>83.94</v>
      </c>
      <c r="C15" s="122"/>
      <c r="D15" s="231">
        <v>101.49</v>
      </c>
      <c r="E15" s="234">
        <f>D15*E2</f>
        <v>30.446999999999996</v>
      </c>
      <c r="F15" s="236">
        <f>SUM(D15:E15)</f>
        <v>131.93699999999998</v>
      </c>
      <c r="G15" s="257"/>
      <c r="H15" s="260">
        <f>H9*2</f>
        <v>55</v>
      </c>
      <c r="I15" s="230">
        <v>1.25</v>
      </c>
      <c r="J15" s="226">
        <f>0.8*40</f>
        <v>32</v>
      </c>
      <c r="K15" s="226">
        <v>0</v>
      </c>
      <c r="L15" s="226">
        <f t="shared" si="0"/>
        <v>88.25</v>
      </c>
      <c r="M15" s="226">
        <f>L15*M9</f>
        <v>13.237499999999999</v>
      </c>
      <c r="N15" s="226"/>
      <c r="O15" s="226">
        <f t="shared" ref="O15:O16" si="1">SUM(L15:N15)</f>
        <v>101.4875</v>
      </c>
      <c r="P15" s="226"/>
      <c r="Q15" s="250"/>
      <c r="R15" s="240"/>
      <c r="S15" s="226"/>
      <c r="T15" s="226"/>
    </row>
    <row r="16" spans="1:20" ht="15" customHeight="1" x14ac:dyDescent="0.2">
      <c r="A16" s="139" t="s">
        <v>540</v>
      </c>
      <c r="B16" s="138">
        <v>122.21</v>
      </c>
      <c r="C16" s="122"/>
      <c r="D16" s="231">
        <v>120.46</v>
      </c>
      <c r="E16" s="234">
        <f>D16*E2</f>
        <v>36.137999999999998</v>
      </c>
      <c r="F16" s="236">
        <f>SUM(D16:E16)</f>
        <v>156.59799999999998</v>
      </c>
      <c r="G16" s="257"/>
      <c r="H16" s="248">
        <f>(H9*2)*130%</f>
        <v>71.5</v>
      </c>
      <c r="I16" s="230">
        <v>1.25</v>
      </c>
      <c r="J16" s="226">
        <f>0.8*40</f>
        <v>32</v>
      </c>
      <c r="K16" s="226">
        <v>0</v>
      </c>
      <c r="L16" s="226">
        <f t="shared" si="0"/>
        <v>104.75</v>
      </c>
      <c r="M16" s="226">
        <f>L16*M9</f>
        <v>15.712499999999999</v>
      </c>
      <c r="N16" s="226"/>
      <c r="O16" s="226">
        <f t="shared" si="1"/>
        <v>120.46250000000001</v>
      </c>
      <c r="P16" s="226"/>
      <c r="Q16" s="250"/>
      <c r="R16" s="240"/>
      <c r="S16" s="226"/>
      <c r="T16" s="226"/>
    </row>
    <row r="17" spans="1:20" ht="15" customHeight="1" x14ac:dyDescent="0.2">
      <c r="A17" s="139" t="s">
        <v>541</v>
      </c>
      <c r="B17" s="138">
        <v>2.25</v>
      </c>
      <c r="C17" s="122"/>
      <c r="D17" s="231"/>
      <c r="E17" s="234"/>
      <c r="F17" s="236"/>
      <c r="G17" s="257"/>
      <c r="H17" s="248"/>
      <c r="I17" s="230"/>
      <c r="J17" s="226"/>
      <c r="K17" s="226"/>
      <c r="L17" s="226"/>
      <c r="M17" s="226"/>
      <c r="N17" s="226"/>
      <c r="O17" s="226"/>
      <c r="P17" s="226"/>
      <c r="Q17" s="250"/>
      <c r="R17" s="240"/>
      <c r="S17" s="226"/>
      <c r="T17" s="226"/>
    </row>
    <row r="18" spans="1:20" ht="15" customHeight="1" x14ac:dyDescent="0.2">
      <c r="A18" s="139" t="s">
        <v>543</v>
      </c>
      <c r="B18" s="138">
        <v>4.6399999999999997</v>
      </c>
      <c r="C18" s="122"/>
      <c r="D18" s="231"/>
      <c r="E18" s="234"/>
      <c r="F18" s="236"/>
      <c r="G18" s="257"/>
      <c r="H18" s="248"/>
      <c r="I18" s="230"/>
      <c r="J18" s="226"/>
      <c r="K18" s="226"/>
      <c r="L18" s="226"/>
      <c r="M18" s="226"/>
      <c r="N18" s="226"/>
      <c r="O18" s="226"/>
      <c r="P18" s="226"/>
      <c r="Q18" s="250"/>
      <c r="R18" s="240"/>
      <c r="S18" s="226"/>
      <c r="T18" s="226"/>
    </row>
    <row r="19" spans="1:20" ht="15" customHeight="1" x14ac:dyDescent="0.2">
      <c r="A19" s="10" t="s">
        <v>542</v>
      </c>
      <c r="B19" s="129">
        <v>5.93</v>
      </c>
      <c r="C19" s="122"/>
      <c r="D19" s="231"/>
      <c r="E19" s="234"/>
      <c r="F19" s="236"/>
      <c r="G19" s="257"/>
      <c r="H19" s="248"/>
      <c r="I19" s="230"/>
      <c r="J19" s="226"/>
      <c r="K19" s="226"/>
      <c r="L19" s="226"/>
      <c r="M19" s="226"/>
      <c r="N19" s="226"/>
      <c r="O19" s="226"/>
      <c r="P19" s="226"/>
      <c r="Q19" s="250"/>
      <c r="R19" s="240"/>
      <c r="S19" s="226"/>
      <c r="T19" s="226"/>
    </row>
    <row r="20" spans="1:20" ht="15" customHeight="1" x14ac:dyDescent="0.2">
      <c r="A20" s="141" t="s">
        <v>544</v>
      </c>
      <c r="B20" s="129">
        <v>209.87</v>
      </c>
      <c r="C20" s="122"/>
      <c r="D20" s="231"/>
      <c r="E20" s="234"/>
      <c r="F20" s="236"/>
      <c r="G20" s="257"/>
      <c r="H20" s="248"/>
      <c r="I20" s="230"/>
      <c r="J20" s="226"/>
      <c r="K20" s="226"/>
      <c r="L20" s="226"/>
      <c r="M20" s="226"/>
      <c r="N20" s="226"/>
      <c r="O20" s="226"/>
      <c r="P20" s="226"/>
      <c r="Q20" s="250"/>
      <c r="R20" s="240"/>
      <c r="S20" s="226"/>
      <c r="T20" s="226"/>
    </row>
    <row r="21" spans="1:20" ht="15" customHeight="1" x14ac:dyDescent="0.2">
      <c r="A21" s="141" t="s">
        <v>545</v>
      </c>
      <c r="B21" s="129">
        <v>278.32</v>
      </c>
      <c r="C21" s="122"/>
      <c r="D21" s="231"/>
      <c r="E21" s="234"/>
      <c r="F21" s="236"/>
      <c r="G21" s="257"/>
      <c r="H21" s="248"/>
      <c r="I21" s="230"/>
      <c r="J21" s="226"/>
      <c r="K21" s="226"/>
      <c r="L21" s="226"/>
      <c r="M21" s="226"/>
      <c r="N21" s="226"/>
      <c r="O21" s="226"/>
      <c r="P21" s="226"/>
      <c r="Q21" s="250"/>
      <c r="R21" s="240"/>
      <c r="S21" s="226"/>
      <c r="T21" s="226"/>
    </row>
    <row r="22" spans="1:20" ht="15" customHeight="1" x14ac:dyDescent="0.2">
      <c r="A22" s="141" t="s">
        <v>546</v>
      </c>
      <c r="B22" s="129">
        <v>357.57</v>
      </c>
      <c r="C22" s="122"/>
      <c r="D22" s="231"/>
      <c r="E22" s="234"/>
      <c r="F22" s="236"/>
      <c r="G22" s="257"/>
      <c r="H22" s="248"/>
      <c r="I22" s="230"/>
      <c r="J22" s="226"/>
      <c r="K22" s="226"/>
      <c r="L22" s="226"/>
      <c r="M22" s="226"/>
      <c r="N22" s="226"/>
      <c r="O22" s="226"/>
      <c r="P22" s="226"/>
      <c r="Q22" s="250"/>
      <c r="R22" s="240"/>
      <c r="S22" s="226"/>
      <c r="T22" s="226"/>
    </row>
    <row r="23" spans="1:20" ht="15" customHeight="1" x14ac:dyDescent="0.2">
      <c r="A23" s="141" t="s">
        <v>547</v>
      </c>
      <c r="B23" s="129">
        <v>429.08</v>
      </c>
      <c r="C23" s="122"/>
      <c r="D23" s="231"/>
      <c r="E23" s="234"/>
      <c r="F23" s="236"/>
      <c r="G23" s="257"/>
      <c r="H23" s="248"/>
      <c r="I23" s="230"/>
      <c r="J23" s="226"/>
      <c r="K23" s="226"/>
      <c r="L23" s="226"/>
      <c r="M23" s="226"/>
      <c r="N23" s="226"/>
      <c r="O23" s="226"/>
      <c r="P23" s="226"/>
      <c r="Q23" s="250"/>
      <c r="R23" s="240"/>
      <c r="S23" s="226"/>
      <c r="T23" s="226"/>
    </row>
    <row r="24" spans="1:20" ht="15" customHeight="1" x14ac:dyDescent="0.2">
      <c r="A24" s="141" t="s">
        <v>548</v>
      </c>
      <c r="B24" s="129">
        <v>163.74</v>
      </c>
      <c r="C24" s="122"/>
      <c r="D24" s="231"/>
      <c r="E24" s="234"/>
      <c r="F24" s="236"/>
      <c r="G24" s="257"/>
      <c r="H24" s="248"/>
      <c r="I24" s="230"/>
      <c r="J24" s="226"/>
      <c r="K24" s="226"/>
      <c r="L24" s="226"/>
      <c r="M24" s="226"/>
      <c r="N24" s="226"/>
      <c r="O24" s="226"/>
      <c r="P24" s="226"/>
      <c r="Q24" s="250"/>
      <c r="R24" s="240"/>
      <c r="S24" s="226"/>
      <c r="T24" s="226"/>
    </row>
    <row r="25" spans="1:20" ht="15" customHeight="1" x14ac:dyDescent="0.2">
      <c r="A25" s="141" t="s">
        <v>549</v>
      </c>
      <c r="B25" s="129">
        <v>197.23</v>
      </c>
      <c r="C25" s="122"/>
      <c r="D25" s="231"/>
      <c r="E25" s="234"/>
      <c r="F25" s="236"/>
      <c r="G25" s="257"/>
      <c r="H25" s="248"/>
      <c r="I25" s="230"/>
      <c r="J25" s="226"/>
      <c r="K25" s="226"/>
      <c r="L25" s="226"/>
      <c r="M25" s="226"/>
      <c r="N25" s="226"/>
      <c r="O25" s="226"/>
      <c r="P25" s="226"/>
      <c r="Q25" s="250"/>
      <c r="R25" s="240"/>
      <c r="S25" s="226"/>
      <c r="T25" s="226"/>
    </row>
    <row r="26" spans="1:20" ht="25.5" x14ac:dyDescent="0.2">
      <c r="A26" s="139" t="s">
        <v>574</v>
      </c>
      <c r="B26" s="129">
        <v>39.44</v>
      </c>
      <c r="C26" s="122"/>
      <c r="D26" s="231"/>
      <c r="E26" s="234"/>
      <c r="F26" s="236"/>
      <c r="G26" s="257"/>
      <c r="H26" s="248"/>
      <c r="I26" s="230"/>
      <c r="J26" s="226"/>
      <c r="K26" s="226"/>
      <c r="L26" s="226"/>
      <c r="M26" s="226"/>
      <c r="N26" s="226"/>
      <c r="O26" s="226"/>
      <c r="P26" s="226"/>
      <c r="Q26" s="250"/>
      <c r="R26" s="240"/>
      <c r="S26" s="226"/>
      <c r="T26" s="226"/>
    </row>
    <row r="27" spans="1:20" ht="15" customHeight="1" x14ac:dyDescent="0.2">
      <c r="A27" s="141" t="s">
        <v>552</v>
      </c>
      <c r="B27" s="129">
        <v>139.15</v>
      </c>
      <c r="C27" s="122"/>
      <c r="D27" s="231"/>
      <c r="E27" s="234"/>
      <c r="F27" s="236"/>
      <c r="G27" s="257"/>
      <c r="H27" s="248"/>
      <c r="I27" s="230"/>
      <c r="J27" s="226"/>
      <c r="K27" s="226"/>
      <c r="L27" s="226"/>
      <c r="M27" s="226"/>
      <c r="N27" s="226"/>
      <c r="O27" s="226"/>
      <c r="P27" s="226"/>
      <c r="Q27" s="250"/>
      <c r="R27" s="240"/>
      <c r="S27" s="226"/>
      <c r="T27" s="226"/>
    </row>
    <row r="28" spans="1:20" ht="15" customHeight="1" x14ac:dyDescent="0.2">
      <c r="A28" s="141" t="s">
        <v>553</v>
      </c>
      <c r="B28" s="129">
        <v>174</v>
      </c>
      <c r="C28" s="122"/>
      <c r="D28" s="231"/>
      <c r="E28" s="234"/>
      <c r="F28" s="236"/>
      <c r="G28" s="257"/>
      <c r="H28" s="248"/>
      <c r="I28" s="230"/>
      <c r="J28" s="226"/>
      <c r="K28" s="226"/>
      <c r="L28" s="226"/>
      <c r="M28" s="226"/>
      <c r="N28" s="226"/>
      <c r="O28" s="226"/>
      <c r="P28" s="226"/>
      <c r="Q28" s="250"/>
      <c r="R28" s="240"/>
      <c r="S28" s="226"/>
      <c r="T28" s="226"/>
    </row>
    <row r="29" spans="1:20" ht="15" customHeight="1" x14ac:dyDescent="0.2">
      <c r="A29" s="141" t="s">
        <v>551</v>
      </c>
      <c r="B29" s="129">
        <v>180.2</v>
      </c>
      <c r="C29" s="122"/>
      <c r="D29" s="231"/>
      <c r="E29" s="234"/>
      <c r="F29" s="236"/>
      <c r="G29" s="257"/>
      <c r="H29" s="248"/>
      <c r="I29" s="230"/>
      <c r="J29" s="226"/>
      <c r="K29" s="226"/>
      <c r="L29" s="226"/>
      <c r="M29" s="226"/>
      <c r="N29" s="226"/>
      <c r="O29" s="226"/>
      <c r="P29" s="226"/>
      <c r="Q29" s="250"/>
      <c r="R29" s="240"/>
      <c r="S29" s="226"/>
      <c r="T29" s="226"/>
    </row>
    <row r="30" spans="1:20" ht="15" customHeight="1" x14ac:dyDescent="0.2">
      <c r="A30" s="141" t="s">
        <v>554</v>
      </c>
      <c r="B30" s="129">
        <v>232.45</v>
      </c>
      <c r="C30" s="122"/>
      <c r="D30" s="231"/>
      <c r="E30" s="234"/>
      <c r="F30" s="236"/>
      <c r="G30" s="257"/>
      <c r="H30" s="248"/>
      <c r="I30" s="230"/>
      <c r="J30" s="226"/>
      <c r="K30" s="226"/>
      <c r="L30" s="226"/>
      <c r="M30" s="226"/>
      <c r="N30" s="226"/>
      <c r="O30" s="226"/>
      <c r="P30" s="226"/>
      <c r="Q30" s="250"/>
      <c r="R30" s="240"/>
      <c r="S30" s="226"/>
      <c r="T30" s="226"/>
    </row>
    <row r="31" spans="1:20" ht="15" customHeight="1" x14ac:dyDescent="0.2">
      <c r="A31" s="141" t="s">
        <v>555</v>
      </c>
      <c r="B31" s="129">
        <v>50.48</v>
      </c>
      <c r="C31" s="122"/>
      <c r="D31" s="231"/>
      <c r="E31" s="234"/>
      <c r="F31" s="236"/>
      <c r="G31" s="257"/>
      <c r="H31" s="248"/>
      <c r="I31" s="230"/>
      <c r="J31" s="226"/>
      <c r="K31" s="226"/>
      <c r="L31" s="226"/>
      <c r="M31" s="226"/>
      <c r="N31" s="226"/>
      <c r="O31" s="226"/>
      <c r="P31" s="226"/>
      <c r="Q31" s="250"/>
      <c r="R31" s="240"/>
      <c r="S31" s="226"/>
      <c r="T31" s="226"/>
    </row>
    <row r="32" spans="1:20" ht="15" customHeight="1" x14ac:dyDescent="0.2">
      <c r="A32" s="141" t="s">
        <v>556</v>
      </c>
      <c r="B32" s="129">
        <v>68.03</v>
      </c>
      <c r="C32" s="122"/>
      <c r="D32" s="231"/>
      <c r="E32" s="234"/>
      <c r="F32" s="236"/>
      <c r="G32" s="257"/>
      <c r="H32" s="248"/>
      <c r="I32" s="230"/>
      <c r="J32" s="226"/>
      <c r="K32" s="226"/>
      <c r="L32" s="226"/>
      <c r="M32" s="226"/>
      <c r="N32" s="226"/>
      <c r="O32" s="226"/>
      <c r="P32" s="226"/>
      <c r="Q32" s="250"/>
      <c r="R32" s="240"/>
      <c r="S32" s="226"/>
      <c r="T32" s="226"/>
    </row>
    <row r="33" spans="1:20" ht="15" customHeight="1" x14ac:dyDescent="0.2">
      <c r="A33" s="141" t="s">
        <v>557</v>
      </c>
      <c r="B33" s="129">
        <v>80.78</v>
      </c>
      <c r="C33" s="122"/>
      <c r="D33" s="231"/>
      <c r="E33" s="234"/>
      <c r="F33" s="236"/>
      <c r="G33" s="257"/>
      <c r="H33" s="248"/>
      <c r="I33" s="230"/>
      <c r="J33" s="226"/>
      <c r="K33" s="226"/>
      <c r="L33" s="226"/>
      <c r="M33" s="226"/>
      <c r="N33" s="226"/>
      <c r="O33" s="226"/>
      <c r="P33" s="226"/>
      <c r="Q33" s="250"/>
      <c r="R33" s="240"/>
      <c r="S33" s="226"/>
      <c r="T33" s="226"/>
    </row>
    <row r="34" spans="1:20" ht="15" customHeight="1" x14ac:dyDescent="0.2">
      <c r="A34" s="141" t="s">
        <v>558</v>
      </c>
      <c r="B34" s="129">
        <v>115.62</v>
      </c>
      <c r="C34" s="122"/>
      <c r="D34" s="231"/>
      <c r="E34" s="234"/>
      <c r="F34" s="236"/>
      <c r="G34" s="257"/>
      <c r="H34" s="248"/>
      <c r="I34" s="230"/>
      <c r="J34" s="226"/>
      <c r="K34" s="226"/>
      <c r="L34" s="226"/>
      <c r="M34" s="226"/>
      <c r="N34" s="226"/>
      <c r="O34" s="226"/>
      <c r="P34" s="226"/>
      <c r="Q34" s="250"/>
      <c r="R34" s="240"/>
      <c r="S34" s="226"/>
      <c r="T34" s="226"/>
    </row>
    <row r="35" spans="1:20" ht="15" customHeight="1" x14ac:dyDescent="0.2">
      <c r="A35" s="141" t="s">
        <v>561</v>
      </c>
      <c r="B35" s="129">
        <v>112.37</v>
      </c>
      <c r="C35" s="122"/>
      <c r="D35" s="231"/>
      <c r="E35" s="234"/>
      <c r="F35" s="236"/>
      <c r="G35" s="257"/>
      <c r="H35" s="248"/>
      <c r="I35" s="230"/>
      <c r="J35" s="226"/>
      <c r="K35" s="226"/>
      <c r="L35" s="226"/>
      <c r="M35" s="226"/>
      <c r="N35" s="226"/>
      <c r="O35" s="226"/>
      <c r="P35" s="226"/>
      <c r="Q35" s="250"/>
      <c r="R35" s="240"/>
      <c r="S35" s="226"/>
      <c r="T35" s="226"/>
    </row>
    <row r="36" spans="1:20" ht="15" customHeight="1" x14ac:dyDescent="0.2">
      <c r="A36" s="141" t="s">
        <v>560</v>
      </c>
      <c r="B36" s="129">
        <v>56.18</v>
      </c>
      <c r="C36" s="122"/>
      <c r="D36" s="231"/>
      <c r="E36" s="234"/>
      <c r="F36" s="236"/>
      <c r="G36" s="257"/>
      <c r="H36" s="248"/>
      <c r="I36" s="230"/>
      <c r="J36" s="226"/>
      <c r="K36" s="226"/>
      <c r="L36" s="226"/>
      <c r="M36" s="226"/>
      <c r="N36" s="226"/>
      <c r="O36" s="226"/>
      <c r="P36" s="226"/>
      <c r="Q36" s="250"/>
      <c r="R36" s="240"/>
      <c r="S36" s="226"/>
      <c r="T36" s="226"/>
    </row>
    <row r="37" spans="1:20" ht="15" customHeight="1" x14ac:dyDescent="0.2">
      <c r="A37" s="141" t="s">
        <v>562</v>
      </c>
      <c r="B37" s="129">
        <v>29.51</v>
      </c>
      <c r="C37" s="122"/>
      <c r="D37" s="231"/>
      <c r="E37" s="234"/>
      <c r="F37" s="236"/>
      <c r="G37" s="257"/>
      <c r="H37" s="248"/>
      <c r="I37" s="230"/>
      <c r="J37" s="226"/>
      <c r="K37" s="226"/>
      <c r="L37" s="226"/>
      <c r="M37" s="226"/>
      <c r="N37" s="226"/>
      <c r="O37" s="226"/>
      <c r="P37" s="226"/>
      <c r="Q37" s="250"/>
      <c r="R37" s="240"/>
      <c r="S37" s="226"/>
      <c r="T37" s="226"/>
    </row>
    <row r="38" spans="1:20" ht="15" customHeight="1" x14ac:dyDescent="0.2">
      <c r="A38" s="141" t="s">
        <v>563</v>
      </c>
      <c r="B38" s="129">
        <v>626.47</v>
      </c>
      <c r="C38" s="122"/>
      <c r="D38" s="231"/>
      <c r="E38" s="234"/>
      <c r="F38" s="236"/>
      <c r="G38" s="257"/>
      <c r="H38" s="248"/>
      <c r="I38" s="230"/>
      <c r="J38" s="226"/>
      <c r="K38" s="226"/>
      <c r="L38" s="226"/>
      <c r="M38" s="226"/>
      <c r="N38" s="226"/>
      <c r="O38" s="226"/>
      <c r="P38" s="226"/>
      <c r="Q38" s="250"/>
      <c r="R38" s="240"/>
      <c r="S38" s="226"/>
      <c r="T38" s="226"/>
    </row>
    <row r="39" spans="1:20" ht="15" customHeight="1" x14ac:dyDescent="0.2">
      <c r="A39" s="219" t="s">
        <v>568</v>
      </c>
      <c r="B39" s="129"/>
      <c r="C39" s="122"/>
      <c r="D39" s="231"/>
      <c r="E39" s="234"/>
      <c r="F39" s="236"/>
      <c r="G39" s="257"/>
      <c r="H39" s="248"/>
      <c r="I39" s="230"/>
      <c r="J39" s="226"/>
      <c r="K39" s="226"/>
      <c r="L39" s="226"/>
      <c r="M39" s="226"/>
      <c r="N39" s="226"/>
      <c r="O39" s="226"/>
      <c r="P39" s="226"/>
      <c r="Q39" s="250"/>
      <c r="R39" s="240"/>
      <c r="S39" s="226"/>
      <c r="T39" s="226"/>
    </row>
    <row r="40" spans="1:20" ht="38.25" x14ac:dyDescent="0.2">
      <c r="A40" s="139" t="s">
        <v>565</v>
      </c>
      <c r="B40" s="129">
        <v>70.25</v>
      </c>
      <c r="C40" s="122"/>
      <c r="D40" s="231"/>
      <c r="E40" s="234"/>
      <c r="F40" s="236"/>
      <c r="G40" s="257"/>
      <c r="H40" s="248"/>
      <c r="I40" s="230"/>
      <c r="J40" s="226"/>
      <c r="K40" s="226"/>
      <c r="L40" s="226"/>
      <c r="M40" s="226"/>
      <c r="N40" s="226"/>
      <c r="O40" s="226"/>
      <c r="P40" s="226"/>
      <c r="Q40" s="250"/>
      <c r="R40" s="240"/>
      <c r="S40" s="226"/>
      <c r="T40" s="226"/>
    </row>
    <row r="41" spans="1:20" ht="38.25" x14ac:dyDescent="0.2">
      <c r="A41" s="139" t="s">
        <v>566</v>
      </c>
      <c r="B41" s="129">
        <v>99.7</v>
      </c>
      <c r="C41" s="122"/>
      <c r="D41" s="231"/>
      <c r="E41" s="234"/>
      <c r="F41" s="236"/>
      <c r="G41" s="257"/>
      <c r="H41" s="248"/>
      <c r="I41" s="230"/>
      <c r="J41" s="226"/>
      <c r="K41" s="226"/>
      <c r="L41" s="226"/>
      <c r="M41" s="226"/>
      <c r="N41" s="226"/>
      <c r="O41" s="226"/>
      <c r="P41" s="226"/>
      <c r="Q41" s="250"/>
      <c r="R41" s="240"/>
      <c r="S41" s="226"/>
      <c r="T41" s="226"/>
    </row>
    <row r="42" spans="1:20" ht="38.25" x14ac:dyDescent="0.2">
      <c r="A42" s="139" t="s">
        <v>567</v>
      </c>
      <c r="B42" s="129">
        <v>78.760000000000005</v>
      </c>
      <c r="C42" s="122"/>
      <c r="D42" s="231"/>
      <c r="E42" s="234"/>
      <c r="F42" s="236"/>
      <c r="G42" s="257"/>
      <c r="H42" s="248"/>
      <c r="I42" s="230"/>
      <c r="J42" s="226"/>
      <c r="K42" s="226"/>
      <c r="L42" s="226"/>
      <c r="M42" s="226"/>
      <c r="N42" s="226"/>
      <c r="O42" s="226"/>
      <c r="P42" s="226"/>
      <c r="Q42" s="250"/>
      <c r="R42" s="240"/>
      <c r="S42" s="226"/>
      <c r="T42" s="226"/>
    </row>
    <row r="43" spans="1:20" ht="38.25" x14ac:dyDescent="0.2">
      <c r="A43" s="139" t="s">
        <v>569</v>
      </c>
      <c r="B43" s="129">
        <v>111.01</v>
      </c>
      <c r="C43" s="122"/>
      <c r="D43" s="231"/>
      <c r="E43" s="234"/>
      <c r="F43" s="236"/>
      <c r="G43" s="257"/>
      <c r="H43" s="248"/>
      <c r="I43" s="230"/>
      <c r="J43" s="226"/>
      <c r="K43" s="226"/>
      <c r="L43" s="226"/>
      <c r="M43" s="226"/>
      <c r="N43" s="226"/>
      <c r="O43" s="226"/>
      <c r="P43" s="226"/>
      <c r="Q43" s="250"/>
      <c r="R43" s="240"/>
      <c r="S43" s="226"/>
      <c r="T43" s="226"/>
    </row>
    <row r="44" spans="1:20" x14ac:dyDescent="0.2">
      <c r="A44" s="139" t="s">
        <v>570</v>
      </c>
      <c r="B44" s="129">
        <v>72.67</v>
      </c>
      <c r="C44" s="122"/>
      <c r="D44" s="231"/>
      <c r="E44" s="234"/>
      <c r="F44" s="236"/>
      <c r="G44" s="257"/>
      <c r="H44" s="248"/>
      <c r="I44" s="230"/>
      <c r="J44" s="226"/>
      <c r="K44" s="226"/>
      <c r="L44" s="226"/>
      <c r="M44" s="226"/>
      <c r="N44" s="226"/>
      <c r="O44" s="226"/>
      <c r="P44" s="226"/>
      <c r="Q44" s="250"/>
      <c r="R44" s="240"/>
      <c r="S44" s="226"/>
      <c r="T44" s="226"/>
    </row>
    <row r="45" spans="1:20" x14ac:dyDescent="0.2">
      <c r="A45" s="139" t="s">
        <v>571</v>
      </c>
      <c r="B45" s="129">
        <v>90.2</v>
      </c>
      <c r="C45" s="122"/>
      <c r="D45" s="231"/>
      <c r="E45" s="234"/>
      <c r="F45" s="236"/>
      <c r="G45" s="257"/>
      <c r="H45" s="248"/>
      <c r="I45" s="230"/>
      <c r="J45" s="226"/>
      <c r="K45" s="226"/>
      <c r="L45" s="226"/>
      <c r="M45" s="226"/>
      <c r="N45" s="226"/>
      <c r="O45" s="226"/>
      <c r="P45" s="226"/>
      <c r="Q45" s="250"/>
      <c r="R45" s="240"/>
      <c r="S45" s="226"/>
      <c r="T45" s="226"/>
    </row>
    <row r="46" spans="1:20" ht="25.5" x14ac:dyDescent="0.2">
      <c r="A46" s="139" t="s">
        <v>572</v>
      </c>
      <c r="B46" s="129">
        <v>237.14</v>
      </c>
      <c r="C46" s="122"/>
      <c r="D46" s="231"/>
      <c r="E46" s="234"/>
      <c r="F46" s="236"/>
      <c r="G46" s="257"/>
      <c r="H46" s="248"/>
      <c r="I46" s="230"/>
      <c r="J46" s="226"/>
      <c r="K46" s="226"/>
      <c r="L46" s="226"/>
      <c r="M46" s="226"/>
      <c r="N46" s="226"/>
      <c r="O46" s="226"/>
      <c r="P46" s="226"/>
      <c r="Q46" s="250"/>
      <c r="R46" s="240"/>
      <c r="S46" s="226"/>
      <c r="T46" s="226"/>
    </row>
    <row r="47" spans="1:20" ht="25.5" x14ac:dyDescent="0.2">
      <c r="A47" s="139" t="s">
        <v>573</v>
      </c>
      <c r="B47" s="129">
        <v>1191.47</v>
      </c>
      <c r="C47" s="122"/>
      <c r="D47" s="231"/>
      <c r="E47" s="234"/>
      <c r="F47" s="236"/>
      <c r="G47" s="257"/>
      <c r="H47" s="248"/>
      <c r="I47" s="230"/>
      <c r="J47" s="226"/>
      <c r="K47" s="226"/>
      <c r="L47" s="226"/>
      <c r="M47" s="226"/>
      <c r="Q47" s="249"/>
    </row>
    <row r="48" spans="1:20" ht="15" customHeight="1" x14ac:dyDescent="0.2">
      <c r="A48" s="139"/>
      <c r="B48" s="129"/>
      <c r="C48" s="122"/>
      <c r="D48" s="231"/>
      <c r="E48" s="234"/>
      <c r="F48" s="236"/>
      <c r="G48" s="257"/>
      <c r="H48" s="248"/>
      <c r="I48" s="230"/>
      <c r="J48" s="226"/>
      <c r="K48" s="226"/>
      <c r="L48" s="226"/>
      <c r="M48" s="226"/>
      <c r="Q48" s="249"/>
    </row>
    <row r="49" spans="1:17" ht="14.25" customHeight="1" x14ac:dyDescent="0.2">
      <c r="A49" s="223" t="s">
        <v>576</v>
      </c>
      <c r="B49" s="129"/>
      <c r="C49" s="122"/>
      <c r="D49" s="231"/>
      <c r="E49" s="234"/>
      <c r="F49" s="236"/>
      <c r="G49" s="257"/>
      <c r="H49" s="248"/>
      <c r="I49" s="230"/>
      <c r="J49" s="226"/>
      <c r="K49" s="226"/>
      <c r="L49" s="226"/>
      <c r="M49" s="226"/>
      <c r="Q49" s="249"/>
    </row>
    <row r="50" spans="1:17" ht="15" customHeight="1" x14ac:dyDescent="0.2">
      <c r="A50" s="139" t="s">
        <v>578</v>
      </c>
      <c r="B50" s="129">
        <v>130</v>
      </c>
      <c r="C50" s="122"/>
      <c r="D50" s="231"/>
      <c r="E50" s="234"/>
      <c r="F50" s="236"/>
      <c r="G50" s="257"/>
      <c r="H50" s="248"/>
      <c r="I50" s="230"/>
      <c r="J50" s="226"/>
      <c r="K50" s="226"/>
      <c r="L50" s="226"/>
      <c r="M50" s="226"/>
      <c r="Q50" s="249"/>
    </row>
    <row r="51" spans="1:17" ht="15" customHeight="1" x14ac:dyDescent="0.2">
      <c r="A51" s="139" t="s">
        <v>580</v>
      </c>
      <c r="B51" s="129">
        <v>70</v>
      </c>
      <c r="C51" s="122"/>
      <c r="D51" s="231"/>
      <c r="E51" s="234"/>
      <c r="F51" s="236"/>
      <c r="G51" s="257"/>
      <c r="H51" s="248"/>
      <c r="I51" s="230"/>
      <c r="J51" s="226"/>
      <c r="K51" s="226"/>
      <c r="L51" s="226"/>
      <c r="M51" s="226"/>
      <c r="Q51" s="249"/>
    </row>
    <row r="52" spans="1:17" ht="15" customHeight="1" thickBot="1" x14ac:dyDescent="0.25">
      <c r="A52" s="139" t="s">
        <v>579</v>
      </c>
      <c r="B52" s="129">
        <v>40</v>
      </c>
      <c r="C52" s="122"/>
      <c r="D52" s="231"/>
      <c r="E52" s="234"/>
      <c r="F52" s="236"/>
      <c r="G52" s="258"/>
      <c r="H52" s="251"/>
      <c r="I52" s="252"/>
      <c r="J52" s="253"/>
      <c r="K52" s="253"/>
      <c r="L52" s="253"/>
      <c r="M52" s="253"/>
      <c r="N52" s="254"/>
      <c r="O52" s="254"/>
      <c r="P52" s="254"/>
      <c r="Q52" s="255"/>
    </row>
    <row r="53" spans="1:17" ht="15" customHeight="1" x14ac:dyDescent="0.2">
      <c r="A53" s="139"/>
      <c r="B53" s="129"/>
      <c r="C53" s="122"/>
      <c r="D53" s="231"/>
      <c r="E53" s="234"/>
      <c r="F53" s="236"/>
      <c r="G53" s="263"/>
      <c r="H53" s="241"/>
      <c r="I53" s="242"/>
      <c r="J53" s="241"/>
      <c r="K53" s="241"/>
      <c r="L53" s="241"/>
      <c r="M53" s="241"/>
    </row>
    <row r="54" spans="1:17" ht="15" customHeight="1" x14ac:dyDescent="0.2">
      <c r="A54" s="139"/>
      <c r="B54" s="129"/>
      <c r="C54" s="122"/>
      <c r="D54" s="231"/>
      <c r="E54" s="234"/>
      <c r="F54" s="236"/>
      <c r="G54" s="264"/>
      <c r="H54" s="226"/>
      <c r="I54" s="230"/>
      <c r="J54" s="226"/>
      <c r="K54" s="226"/>
      <c r="L54" s="226"/>
      <c r="M54" s="226"/>
    </row>
    <row r="55" spans="1:17" ht="15" customHeight="1" x14ac:dyDescent="0.2">
      <c r="A55" s="141"/>
      <c r="B55" s="129"/>
      <c r="C55" s="122"/>
      <c r="D55" s="231"/>
      <c r="E55" s="234"/>
      <c r="F55" s="236"/>
      <c r="G55" s="264"/>
      <c r="H55" s="226"/>
      <c r="I55" s="230"/>
      <c r="J55" s="226"/>
      <c r="K55" s="226"/>
      <c r="L55" s="226"/>
      <c r="M55" s="226"/>
    </row>
    <row r="56" spans="1:17" ht="15" customHeight="1" x14ac:dyDescent="0.2">
      <c r="A56" s="141"/>
      <c r="B56" s="129"/>
      <c r="C56" s="122"/>
      <c r="D56" s="231"/>
      <c r="E56" s="234"/>
      <c r="F56" s="236"/>
      <c r="G56" s="264"/>
      <c r="H56" s="226"/>
      <c r="I56" s="230"/>
      <c r="J56" s="226"/>
      <c r="K56" s="226"/>
      <c r="L56" s="226"/>
      <c r="M56" s="226"/>
    </row>
    <row r="57" spans="1:17" ht="15" customHeight="1" x14ac:dyDescent="0.2">
      <c r="A57" s="141"/>
      <c r="B57" s="129"/>
      <c r="C57" s="122"/>
      <c r="D57" s="231"/>
      <c r="E57" s="234"/>
      <c r="F57" s="236"/>
      <c r="G57" s="264"/>
      <c r="H57" s="226"/>
      <c r="I57" s="230"/>
      <c r="J57" s="226"/>
      <c r="K57" s="226"/>
      <c r="L57" s="226"/>
      <c r="M57" s="226"/>
    </row>
    <row r="58" spans="1:17" ht="15" customHeight="1" x14ac:dyDescent="0.2">
      <c r="A58" s="141"/>
      <c r="B58" s="129"/>
      <c r="C58" s="122"/>
      <c r="D58" s="231"/>
      <c r="E58" s="234"/>
      <c r="F58" s="236"/>
      <c r="G58" s="264"/>
      <c r="H58" s="226"/>
      <c r="I58" s="230"/>
      <c r="J58" s="226"/>
      <c r="K58" s="226"/>
      <c r="L58" s="226"/>
      <c r="M58" s="226"/>
    </row>
    <row r="59" spans="1:17" ht="15" customHeight="1" x14ac:dyDescent="0.2">
      <c r="A59" s="4"/>
      <c r="B59" s="187"/>
      <c r="C59" s="6"/>
    </row>
    <row r="60" spans="1:17" ht="15" customHeight="1" x14ac:dyDescent="0.2">
      <c r="A60" s="4"/>
      <c r="B60" s="187"/>
      <c r="C60" s="6"/>
    </row>
    <row r="61" spans="1:17" ht="15" customHeight="1" x14ac:dyDescent="0.2">
      <c r="A61" s="7"/>
      <c r="B61" s="187"/>
      <c r="C61" s="6"/>
    </row>
    <row r="62" spans="1:17" ht="15" customHeight="1" x14ac:dyDescent="0.2">
      <c r="A62" s="7"/>
      <c r="B62" s="187"/>
      <c r="C62" s="6"/>
    </row>
    <row r="63" spans="1:17" ht="15" customHeight="1" x14ac:dyDescent="0.2">
      <c r="A63" s="4"/>
      <c r="B63" s="187"/>
      <c r="C63" s="6"/>
    </row>
    <row r="64" spans="1:17" ht="15" customHeight="1" x14ac:dyDescent="0.2">
      <c r="A64" s="4"/>
      <c r="B64" s="187"/>
      <c r="C64" s="6"/>
    </row>
    <row r="65" spans="1:3" ht="15" customHeight="1" x14ac:dyDescent="0.2">
      <c r="A65" s="4"/>
      <c r="B65" s="187"/>
      <c r="C65" s="6"/>
    </row>
    <row r="66" spans="1:3" ht="15" customHeight="1" x14ac:dyDescent="0.2">
      <c r="A66" s="4"/>
      <c r="B66" s="187"/>
      <c r="C66" s="6"/>
    </row>
    <row r="67" spans="1:3" ht="15" customHeight="1" x14ac:dyDescent="0.2">
      <c r="A67" s="4"/>
      <c r="B67" s="187"/>
      <c r="C67" s="6"/>
    </row>
    <row r="68" spans="1:3" ht="15" customHeight="1" x14ac:dyDescent="0.2">
      <c r="A68" s="4"/>
      <c r="B68" s="187"/>
      <c r="C68" s="6"/>
    </row>
    <row r="69" spans="1:3" ht="15" customHeight="1" x14ac:dyDescent="0.2">
      <c r="A69" s="4"/>
      <c r="B69" s="187"/>
      <c r="C69" s="6"/>
    </row>
    <row r="70" spans="1:3" ht="15" customHeight="1" x14ac:dyDescent="0.2">
      <c r="A70" s="4"/>
      <c r="B70" s="187"/>
      <c r="C70" s="6"/>
    </row>
    <row r="71" spans="1:3" ht="15" customHeight="1" x14ac:dyDescent="0.2">
      <c r="A71" s="4"/>
      <c r="B71" s="187"/>
      <c r="C71" s="6"/>
    </row>
    <row r="72" spans="1:3" ht="15" customHeight="1" x14ac:dyDescent="0.2">
      <c r="A72" s="4"/>
      <c r="B72" s="187"/>
      <c r="C72" s="6"/>
    </row>
    <row r="73" spans="1:3" ht="15" customHeight="1" x14ac:dyDescent="0.2">
      <c r="A73" s="4"/>
      <c r="B73" s="187"/>
      <c r="C73" s="6"/>
    </row>
    <row r="74" spans="1:3" ht="15" customHeight="1" x14ac:dyDescent="0.2">
      <c r="A74" s="7"/>
      <c r="B74" s="187"/>
      <c r="C74" s="6"/>
    </row>
    <row r="75" spans="1:3" ht="15" customHeight="1" x14ac:dyDescent="0.2">
      <c r="A75" s="7"/>
      <c r="B75" s="187"/>
      <c r="C75" s="6"/>
    </row>
    <row r="76" spans="1:3" ht="15" customHeight="1" x14ac:dyDescent="0.2">
      <c r="A76" s="4"/>
      <c r="B76" s="187"/>
      <c r="C76" s="6"/>
    </row>
    <row r="77" spans="1:3" ht="15" customHeight="1" x14ac:dyDescent="0.2">
      <c r="A77" s="4"/>
      <c r="B77" s="187"/>
      <c r="C77" s="6"/>
    </row>
    <row r="78" spans="1:3" ht="15" customHeight="1" x14ac:dyDescent="0.2">
      <c r="A78" s="4"/>
      <c r="B78" s="187"/>
      <c r="C78" s="6"/>
    </row>
    <row r="79" spans="1:3" ht="16.5" customHeight="1" x14ac:dyDescent="0.2">
      <c r="A79" s="4"/>
      <c r="B79" s="187"/>
      <c r="C79" s="6"/>
    </row>
    <row r="80" spans="1:3" x14ac:dyDescent="0.2">
      <c r="A80" s="4"/>
      <c r="B80" s="187"/>
      <c r="C80" s="6"/>
    </row>
    <row r="81" spans="1:3" x14ac:dyDescent="0.2">
      <c r="A81" s="4"/>
      <c r="B81" s="187"/>
      <c r="C81" s="6"/>
    </row>
    <row r="82" spans="1:3" x14ac:dyDescent="0.2">
      <c r="A82" s="4"/>
      <c r="B82" s="187"/>
      <c r="C82" s="6"/>
    </row>
    <row r="83" spans="1:3" x14ac:dyDescent="0.2">
      <c r="A83" s="4"/>
      <c r="B83" s="187"/>
      <c r="C83" s="6"/>
    </row>
    <row r="84" spans="1:3" ht="60.75" customHeight="1" x14ac:dyDescent="0.2">
      <c r="A84" s="4"/>
      <c r="B84" s="187"/>
      <c r="C84" s="6"/>
    </row>
    <row r="85" spans="1:3" ht="15.75" customHeight="1" x14ac:dyDescent="0.2">
      <c r="A85" s="4"/>
      <c r="B85" s="187"/>
      <c r="C85" s="6"/>
    </row>
    <row r="86" spans="1:3" x14ac:dyDescent="0.2">
      <c r="A86" s="4"/>
      <c r="B86" s="187"/>
      <c r="C86" s="6"/>
    </row>
    <row r="87" spans="1:3" x14ac:dyDescent="0.2">
      <c r="A87" s="4"/>
      <c r="B87" s="187"/>
      <c r="C87" s="6"/>
    </row>
    <row r="88" spans="1:3" x14ac:dyDescent="0.2">
      <c r="A88" s="4"/>
      <c r="B88" s="187"/>
      <c r="C88" s="6"/>
    </row>
    <row r="89" spans="1:3" x14ac:dyDescent="0.2">
      <c r="A89" s="4"/>
      <c r="B89" s="187"/>
      <c r="C89" s="6"/>
    </row>
    <row r="90" spans="1:3" x14ac:dyDescent="0.2">
      <c r="A90" s="4"/>
      <c r="B90" s="187"/>
      <c r="C90" s="6"/>
    </row>
    <row r="91" spans="1:3" x14ac:dyDescent="0.2">
      <c r="A91" s="7"/>
      <c r="B91" s="187"/>
      <c r="C91" s="6"/>
    </row>
    <row r="92" spans="1:3" x14ac:dyDescent="0.2">
      <c r="A92" s="7"/>
      <c r="B92" s="187"/>
      <c r="C92" s="6"/>
    </row>
    <row r="93" spans="1:3" x14ac:dyDescent="0.2">
      <c r="A93" s="4"/>
      <c r="B93" s="187"/>
      <c r="C93" s="6"/>
    </row>
    <row r="94" spans="1:3" x14ac:dyDescent="0.2">
      <c r="A94" s="4"/>
      <c r="B94" s="187"/>
      <c r="C94" s="6"/>
    </row>
    <row r="95" spans="1:3" x14ac:dyDescent="0.2">
      <c r="A95" s="4"/>
      <c r="B95" s="187"/>
      <c r="C95" s="6"/>
    </row>
    <row r="96" spans="1:3" x14ac:dyDescent="0.2">
      <c r="A96" s="4"/>
      <c r="B96" s="187"/>
      <c r="C96" s="6"/>
    </row>
    <row r="97" spans="1:3" x14ac:dyDescent="0.2">
      <c r="A97" s="4"/>
      <c r="B97" s="187"/>
      <c r="C97" s="6"/>
    </row>
    <row r="98" spans="1:3" x14ac:dyDescent="0.2">
      <c r="B98" s="187"/>
      <c r="C98" s="6"/>
    </row>
    <row r="99" spans="1:3" x14ac:dyDescent="0.2">
      <c r="A99" s="9"/>
      <c r="B99" s="187"/>
      <c r="C99" s="13"/>
    </row>
    <row r="100" spans="1:3" x14ac:dyDescent="0.2">
      <c r="A100" s="9"/>
      <c r="B100" s="187"/>
      <c r="C100" s="6"/>
    </row>
    <row r="102" spans="1:3" x14ac:dyDescent="0.2">
      <c r="A102" s="9"/>
    </row>
  </sheetData>
  <mergeCells count="2">
    <mergeCell ref="A1:C1"/>
    <mergeCell ref="A2:C2"/>
  </mergeCells>
  <printOptions horizontalCentered="1"/>
  <pageMargins left="3.937007874015748E-2" right="3.937007874015748E-2" top="1.5354330708661419" bottom="0.74803149606299213" header="0.31496062992125984" footer="0.31496062992125984"/>
  <pageSetup paperSize="9" orientation="portrait" r:id="rId1"/>
  <headerFooter scaleWithDoc="0"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21</vt:i4>
      </vt:variant>
      <vt:variant>
        <vt:lpstr>Intervalli denominati</vt:lpstr>
      </vt:variant>
      <vt:variant>
        <vt:i4>20</vt:i4>
      </vt:variant>
    </vt:vector>
  </HeadingPairs>
  <TitlesOfParts>
    <vt:vector size="41" baseType="lpstr">
      <vt:lpstr>Trasporto</vt:lpstr>
      <vt:lpstr>Trasporto (COSTI)</vt:lpstr>
      <vt:lpstr>Spurghi - vhs</vt:lpstr>
      <vt:lpstr>Spurghi - vhs (COSTI)</vt:lpstr>
      <vt:lpstr>Analisi</vt:lpstr>
      <vt:lpstr>Analisi (COSTI)</vt:lpstr>
      <vt:lpstr>Canne Fumarie</vt:lpstr>
      <vt:lpstr>Canne Fumarie (COSTI)</vt:lpstr>
      <vt:lpstr>Amianto</vt:lpstr>
      <vt:lpstr>Serbatoi</vt:lpstr>
      <vt:lpstr>Foglio1</vt:lpstr>
      <vt:lpstr>Serbatoi (COSTI)</vt:lpstr>
      <vt:lpstr>Derattiz. - Disinf.</vt:lpstr>
      <vt:lpstr>Derattiz. - Disinf. (COSTI)</vt:lpstr>
      <vt:lpstr>Rifiuti</vt:lpstr>
      <vt:lpstr>Barche</vt:lpstr>
      <vt:lpstr>Barche (COSTI)</vt:lpstr>
      <vt:lpstr>Linea Vita - Graffiti</vt:lpstr>
      <vt:lpstr>Graffiti (COSTI)</vt:lpstr>
      <vt:lpstr>STRAORDINARI</vt:lpstr>
      <vt:lpstr>CLIENTI PARTICOLARI</vt:lpstr>
      <vt:lpstr>Amianto!Area_stampa</vt:lpstr>
      <vt:lpstr>Analisi!Area_stampa</vt:lpstr>
      <vt:lpstr>'Analisi (COSTI)'!Area_stampa</vt:lpstr>
      <vt:lpstr>Barche!Area_stampa</vt:lpstr>
      <vt:lpstr>'Barche (COSTI)'!Area_stampa</vt:lpstr>
      <vt:lpstr>'Canne Fumarie'!Area_stampa</vt:lpstr>
      <vt:lpstr>'Canne Fumarie (COSTI)'!Area_stampa</vt:lpstr>
      <vt:lpstr>'CLIENTI PARTICOLARI'!Area_stampa</vt:lpstr>
      <vt:lpstr>'Derattiz. - Disinf.'!Area_stampa</vt:lpstr>
      <vt:lpstr>'Derattiz. - Disinf. (COSTI)'!Area_stampa</vt:lpstr>
      <vt:lpstr>'Graffiti (COSTI)'!Area_stampa</vt:lpstr>
      <vt:lpstr>'Linea Vita - Graffiti'!Area_stampa</vt:lpstr>
      <vt:lpstr>Rifiuti!Area_stampa</vt:lpstr>
      <vt:lpstr>Serbatoi!Area_stampa</vt:lpstr>
      <vt:lpstr>'Serbatoi (COSTI)'!Area_stampa</vt:lpstr>
      <vt:lpstr>'Spurghi - vhs'!Area_stampa</vt:lpstr>
      <vt:lpstr>'Spurghi - vhs (COSTI)'!Area_stampa</vt:lpstr>
      <vt:lpstr>STRAORDINARI!Area_stampa</vt:lpstr>
      <vt:lpstr>Trasporto!Area_stampa</vt:lpstr>
      <vt:lpstr>'Trasporto (COSTI)'!Area_stampa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rappresentanti</cp:lastModifiedBy>
  <cp:lastPrinted>2025-03-19T09:54:41Z</cp:lastPrinted>
  <dcterms:created xsi:type="dcterms:W3CDTF">1996-11-05T10:16:36Z</dcterms:created>
  <dcterms:modified xsi:type="dcterms:W3CDTF">2026-09-25T11:59:11Z</dcterms:modified>
</cp:coreProperties>
</file>