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Statistiche" sheetId="2" state="visible" r:id="rId4"/>
    <sheet name="Canali pubblicitari" sheetId="3" state="visible" r:id="rId5"/>
    <sheet name="Striscioni vs chiamate" sheetId="4" state="visible" r:id="rId6"/>
    <sheet name="Rubriche web" sheetId="5" state="visible" r:id="rId7"/>
    <sheet name="Bilancio e servizi" sheetId="6" state="visible" r:id="rId8"/>
    <sheet name="Registro" sheetId="7" state="visible" r:id="rId9"/>
    <sheet name="Servizi e obblighi" sheetId="8" state="visible" r:id="rId10"/>
    <sheet name="Iscrizione Albo" sheetId="9" state="visible" r:id="rId11"/>
    <sheet name="Obblighi trasversali" sheetId="10" state="visible" r:id="rId12"/>
    <sheet name="Pacchetti" sheetId="11" state="visible" r:id="rId13"/>
    <sheet name="Motivi" sheetId="12" state="visible" r:id="rId14"/>
    <sheet name="Liste" sheetId="13" state="hidden" r:id="rId15"/>
  </sheets>
  <definedNames>
    <definedName function="false" hidden="true" localSheetId="6" name="_xlnm._FilterDatabase" vbProcedure="false">Registro!$A$4:$T$804</definedName>
    <definedName function="false" hidden="true" localSheetId="4" name="_xlnm._FilterDatabase" vbProcedure="false">'Rubriche web'!$A$4:$I$293</definedName>
    <definedName function="false" hidden="true" localSheetId="7" name="_xlnm._FilterDatabase" vbProcedure="false">'Servizi e obblighi'!$A$4:$K$27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<sst xmlns="http://schemas.openxmlformats.org/spreadsheetml/2006/main" count="5302" uniqueCount="2237">
  <si>
    <t xml:space="preserve">SERVIZI ECOLOGICI S.R.L. – Gestione contatti, servizi e obblighi di legge</t>
  </si>
  <si>
    <t xml:space="preserve">Creato il 25/09/2026 – fonti: area clienti Italiaonline/PgCasa, sito serviziecologici.it, normativa vigente</t>
  </si>
  <si>
    <t xml:space="preserve">Foglio</t>
  </si>
  <si>
    <t xml:space="preserve">A cosa serve</t>
  </si>
  <si>
    <t xml:space="preserve">Cosa compilare</t>
  </si>
  <si>
    <t xml:space="preserve">Servizi e obblighi</t>
  </si>
  <si>
    <t xml:space="preserve">Tutti i servizi dell'azienda con autorizzazioni, documenti, sicurezza, trasporto e scadenze di legge</t>
  </si>
  <si>
    <t xml:space="preserve">Colonna 'Verifica interna' (es. n. iscrizione Albo, scadenza)</t>
  </si>
  <si>
    <t xml:space="preserve">Iscrizione Albo</t>
  </si>
  <si>
    <t xml:space="preserve">Categorie, classi e scadenze dell'iscrizione MI03807 con stato automatico (VALIDA / RINNOVARE ORA)</t>
  </si>
  <si>
    <t xml:space="preserve">Aggiornare dopo ogni rinnovo</t>
  </si>
  <si>
    <t xml:space="preserve">Obblighi trasversali</t>
  </si>
  <si>
    <t xml:space="preserve">Obblighi che valgono per tutta l'azienda (Albo, RENTRI, MUD, DVR, privacy contatti…)</t>
  </si>
  <si>
    <t xml:space="preserve">Colonne 'Scadenza' e 'Responsabile'</t>
  </si>
  <si>
    <t xml:space="preserve">Registro</t>
  </si>
  <si>
    <t xml:space="preserve">Un rigo per ogni contatto (PgCasa, telefonate, moduli sito, Google…): esito PRESO / NON PRESO e motivo</t>
  </si>
  <si>
    <t xml:space="preserve">Tutte le celle gialle. Menù a tendina su Fonte, Tipo cliente, Area, Esito, Motivo</t>
  </si>
  <si>
    <t xml:space="preserve">Statistiche</t>
  </si>
  <si>
    <t xml:space="preserve">Conteggi automatici per servizio, zona, fonte, tipo cliente, esito e motivo; % lavori presi; costo per lavoro preso</t>
  </si>
  <si>
    <t xml:space="preserve">Niente: si aggiorna da solo</t>
  </si>
  <si>
    <t xml:space="preserve">Motivi</t>
  </si>
  <si>
    <t xml:space="preserve">Elenco dei motivi di lavoro non preso (usato dal menù a tendina)</t>
  </si>
  <si>
    <t xml:space="preserve">Aggiungere motivi in fondo se servono</t>
  </si>
  <si>
    <t xml:space="preserve">Pacchetti</t>
  </si>
  <si>
    <t xml:space="preserve">Pacchetti di servizi per tipo di cliente, con l'obbligo di legge che il pacchetto risolve</t>
  </si>
  <si>
    <t xml:space="preserve">Prezzo indicativo e note commerciali</t>
  </si>
  <si>
    <t xml:space="preserve"> </t>
  </si>
  <si>
    <t xml:space="preserve">Colori</t>
  </si>
  <si>
    <t xml:space="preserve">Celle gialle = da compilare. Celle verdi = intestazioni di area. Il resto sono formule o testi di riferimento.</t>
  </si>
  <si>
    <t xml:space="preserve">Attenzione</t>
  </si>
  <si>
    <t xml:space="preserve">Le indicazioni normative sono una sintesi operativa, non un parere legale: verificare sempre con il consulente ambientale/RSPP e sul testo vigente delle norme.</t>
  </si>
  <si>
    <t xml:space="preserve">Registro chiamate</t>
  </si>
  <si>
    <t xml:space="preserve">Importate le 168 chiamate del file reg.chiamate.pdf (Reception, 2026) + 16 richieste PgCasa. Il registro originale NON ha l'esito: la colonna Esito è impostata a DA VERIFICARE, va aggiornata con PRESO / NON PRESO + Motivo.</t>
  </si>
  <si>
    <t xml:space="preserve">Ipotesi di lettura</t>
  </si>
  <si>
    <t xml:space="preserve">IT CANNE = ispezione TV canne fumarie; IT FOGNA = ispezione TV fognatura; PULIZ./PULIZIA, ANALISI e INSTALLAZI sono in area DA SPECIFICARE perché dal registro non si capisce quale servizio. Correggere dove serve.</t>
  </si>
  <si>
    <t xml:space="preserve">Dati Italiaonline (ultimi 6 mesi)</t>
  </si>
  <si>
    <t xml:space="preserve">14.533 impression · 7.495 visualizzazioni · 2.859 visite · 500 chiamate · 331 indicazioni stradali · 157 clic sito · 37 moduli contatto · 17 preventivi · saldo PgCasa 62 €</t>
  </si>
  <si>
    <t xml:space="preserve">Statistiche contatti</t>
  </si>
  <si>
    <t xml:space="preserve">Si aggiornano da sole dal foglio Registro</t>
  </si>
  <si>
    <t xml:space="preserve">Totale contatti</t>
  </si>
  <si>
    <t xml:space="preserve">Lavori PRESI</t>
  </si>
  <si>
    <t xml:space="preserve">NON PRESI</t>
  </si>
  <si>
    <t xml:space="preserve">Esito ancora da inserire</t>
  </si>
  <si>
    <t xml:space="preserve">% presi sui contatti chiusi</t>
  </si>
  <si>
    <t xml:space="preserve">Contatti da Italiaonline (chiamate + PgCasa)</t>
  </si>
  <si>
    <t xml:space="preserve">% contatti da Italiaonline</t>
  </si>
  <si>
    <t xml:space="preserve">Costo contatti PgCasa €</t>
  </si>
  <si>
    <t xml:space="preserve">Costo per lavoro preso €</t>
  </si>
  <si>
    <t xml:space="preserve">Valore lavori fatti €</t>
  </si>
  <si>
    <t xml:space="preserve">Per fonte del contatto (da dove ci conoscono)</t>
  </si>
  <si>
    <t xml:space="preserve">Fonte</t>
  </si>
  <si>
    <t xml:space="preserve">Contatti</t>
  </si>
  <si>
    <t xml:space="preserve">Presi</t>
  </si>
  <si>
    <t xml:space="preserve">Non presi</t>
  </si>
  <si>
    <t xml:space="preserve">Esito da inserire / in attesa</t>
  </si>
  <si>
    <t xml:space="preserve">% presi (sui chiusi)</t>
  </si>
  <si>
    <t xml:space="preserve">Costo contatti €</t>
  </si>
  <si>
    <t xml:space="preserve">Valore lavori €</t>
  </si>
  <si>
    <t xml:space="preserve">PgCasa (Italiaonline)</t>
  </si>
  <si>
    <t xml:space="preserve">Italiaonline</t>
  </si>
  <si>
    <t xml:space="preserve">Internet</t>
  </si>
  <si>
    <t xml:space="preserve">Passaparola</t>
  </si>
  <si>
    <t xml:space="preserve">Pagine Gialle</t>
  </si>
  <si>
    <t xml:space="preserve">Quotidiani Online</t>
  </si>
  <si>
    <t xml:space="preserve">Pubblicità Automezzi</t>
  </si>
  <si>
    <t xml:space="preserve">Manifesti deratt.</t>
  </si>
  <si>
    <t xml:space="preserve">Imprese Ambiente</t>
  </si>
  <si>
    <t xml:space="preserve">Bus</t>
  </si>
  <si>
    <t xml:space="preserve">Altro</t>
  </si>
  <si>
    <t xml:space="preserve">TOTALE</t>
  </si>
  <si>
    <t xml:space="preserve">Per area di servizio</t>
  </si>
  <si>
    <t xml:space="preserve">Area</t>
  </si>
  <si>
    <t xml:space="preserve">SPURGHI E RETI</t>
  </si>
  <si>
    <t xml:space="preserve">RIFIUTI</t>
  </si>
  <si>
    <t xml:space="preserve">BONIFICHE</t>
  </si>
  <si>
    <t xml:space="preserve">DISINFESTAZIONE</t>
  </si>
  <si>
    <t xml:space="preserve">IGIENE IMPIANTI</t>
  </si>
  <si>
    <t xml:space="preserve">NAUTICA</t>
  </si>
  <si>
    <t xml:space="preserve">CONSULENZA</t>
  </si>
  <si>
    <t xml:space="preserve">DA SPECIFICARE</t>
  </si>
  <si>
    <t xml:space="preserve">Per servizio</t>
  </si>
  <si>
    <t xml:space="preserve">Servizio</t>
  </si>
  <si>
    <t xml:space="preserve">Canaljet – autospurgo fosse biologiche, fognature, pozzetti, degrassatori</t>
  </si>
  <si>
    <t xml:space="preserve">Ispezioni televisive e mappature reti</t>
  </si>
  <si>
    <t xml:space="preserve">Ricerca perdite</t>
  </si>
  <si>
    <t xml:space="preserve">Rinnovamento non distruttivo tubazioni (relining)</t>
  </si>
  <si>
    <t xml:space="preserve">Noleggio bagni chimici</t>
  </si>
  <si>
    <t xml:space="preserve">Smaltimento rifiuti pericolosi e non pericolosi</t>
  </si>
  <si>
    <t xml:space="preserve">Locazione cassoni scarrabili</t>
  </si>
  <si>
    <t xml:space="preserve">Trasporto e smaltimento inerti / terre e rocce da scavo</t>
  </si>
  <si>
    <t xml:space="preserve">Microraccolta rifiuti</t>
  </si>
  <si>
    <t xml:space="preserve">Lavorazione rifiuti da costruzione e demolizione (V.A.L. – Cisano sul Neva)</t>
  </si>
  <si>
    <t xml:space="preserve">Bonifiche ambientali e discariche abusive</t>
  </si>
  <si>
    <t xml:space="preserve">Rimozione e smaltimento amianto – eternit</t>
  </si>
  <si>
    <t xml:space="preserve">Pulizia cisterne e serbatoi, inertizzazione e vetrificazione</t>
  </si>
  <si>
    <t xml:space="preserve">Derattizzazione, disinfestazione insetti, disinfezione, sanificazione</t>
  </si>
  <si>
    <t xml:space="preserve">Allontanamento volatili (piccioni, gabbiani)</t>
  </si>
  <si>
    <t xml:space="preserve">Pulizia e igienizzazione cappe cucine (civili e industriali)</t>
  </si>
  <si>
    <t xml:space="preserve">Pulizia canalizzazioni aerauliche e condizionatori (anche imbarcazioni)</t>
  </si>
  <si>
    <t xml:space="preserve">Pulizia canne fumarie (spazzacamino)</t>
  </si>
  <si>
    <t xml:space="preserve">Controllo acque potabili</t>
  </si>
  <si>
    <t xml:space="preserve">Pulizia facciate e rimozione graffiti</t>
  </si>
  <si>
    <t xml:space="preserve">Pulizia serbatoi barche e yacht (acque nere, grigie, sentine) e analisi/pulizia tubazioni</t>
  </si>
  <si>
    <t xml:space="preserve">Consulenze ambientali</t>
  </si>
  <si>
    <t xml:space="preserve">Rilevazioni termografiche e certificazione energetica (APE)</t>
  </si>
  <si>
    <t xml:space="preserve">Per provincia (zona)</t>
  </si>
  <si>
    <t xml:space="preserve">Provincia</t>
  </si>
  <si>
    <t xml:space="preserve">SV</t>
  </si>
  <si>
    <t xml:space="preserve">IM</t>
  </si>
  <si>
    <t xml:space="preserve">GE</t>
  </si>
  <si>
    <t xml:space="preserve">AL</t>
  </si>
  <si>
    <t xml:space="preserve">AT</t>
  </si>
  <si>
    <t xml:space="preserve">CN</t>
  </si>
  <si>
    <t xml:space="preserve">MI</t>
  </si>
  <si>
    <t xml:space="preserve">Per tipo di cliente</t>
  </si>
  <si>
    <t xml:space="preserve">Tipo cliente</t>
  </si>
  <si>
    <t xml:space="preserve">Privato</t>
  </si>
  <si>
    <t xml:space="preserve">Condominio / Amministratore</t>
  </si>
  <si>
    <t xml:space="preserve">Impresa edile / Artigiano</t>
  </si>
  <si>
    <t xml:space="preserve">Azienda / Società</t>
  </si>
  <si>
    <t xml:space="preserve">Attività / Turismo</t>
  </si>
  <si>
    <t xml:space="preserve">Ente pubblico</t>
  </si>
  <si>
    <t xml:space="preserve">Nautica / Porto</t>
  </si>
  <si>
    <t xml:space="preserve">Per commerciale (codice)</t>
  </si>
  <si>
    <t xml:space="preserve">Commerciale</t>
  </si>
  <si>
    <t xml:space="preserve">1</t>
  </si>
  <si>
    <t xml:space="preserve">4</t>
  </si>
  <si>
    <t xml:space="preserve">11</t>
  </si>
  <si>
    <t xml:space="preserve">33</t>
  </si>
  <si>
    <t xml:space="preserve">34</t>
  </si>
  <si>
    <t xml:space="preserve">35</t>
  </si>
  <si>
    <t xml:space="preserve">38</t>
  </si>
  <si>
    <t xml:space="preserve">Incrocio: contatti per area e fonte</t>
  </si>
  <si>
    <t xml:space="preserve">Altre fonti</t>
  </si>
  <si>
    <t xml:space="preserve">Totale</t>
  </si>
  <si>
    <t xml:space="preserve">Per mese (2026)</t>
  </si>
  <si>
    <t xml:space="preserve">Mese</t>
  </si>
  <si>
    <t xml:space="preserve">di cui Italiaonline + PgCasa</t>
  </si>
  <si>
    <t xml:space="preserve">Gennaio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</si>
  <si>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</si>
  <si>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</si>
  <si>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</si>
  <si>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</si>
  <si>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</si>
  <si>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</si>
  <si>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</si>
  <si>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</si>
  <si>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</si>
  <si>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</si>
  <si>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</si>
  <si>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Anni precedenti</t>
  </si>
  <si>
    <t xml:space="preserve">Motivi dei lavori NON presi</t>
  </si>
  <si>
    <t xml:space="preserve">Motivo</t>
  </si>
  <si>
    <t xml:space="preserve">N.</t>
  </si>
  <si>
    <t xml:space="preserve">% sul totale non presi</t>
  </si>
  <si>
    <t xml:space="preserve">Prezzo troppo alto</t>
  </si>
  <si>
    <t xml:space="preserve">Zona fuori area / troppo lontana</t>
  </si>
  <si>
    <t xml:space="preserve">Servizio non offerto</t>
  </si>
  <si>
    <t xml:space="preserve">Cliente irreperibile</t>
  </si>
  <si>
    <t xml:space="preserve">Tempi non compatibili</t>
  </si>
  <si>
    <t xml:space="preserve">Mezzo non adatto / accesso difficile</t>
  </si>
  <si>
    <t xml:space="preserve">Problema già risolto</t>
  </si>
  <si>
    <t xml:space="preserve">Solo informazioni / curiosità</t>
  </si>
  <si>
    <t xml:space="preserve">Mancanza documenti / requisiti</t>
  </si>
  <si>
    <t xml:space="preserve">Lavoro rifiutato da noi</t>
  </si>
  <si>
    <t xml:space="preserve">Richiesta duplicata</t>
  </si>
  <si>
    <t xml:space="preserve">Altro (scrivere nelle note)</t>
  </si>
  <si>
    <t xml:space="preserve">Canali pubblicitari 2026: costi e contatti ricevuti</t>
  </si>
  <si>
    <t xml:space="preserve">Costi da contratti (Italiaonline 11/12/2025, CIBRA 26/02/2025) ed elenco striscioni Contini 2026; contatti dal Registro (gen–22 set 2026)</t>
  </si>
  <si>
    <t xml:space="preserve">Canale</t>
  </si>
  <si>
    <t xml:space="preserve">Fornitore / contratto</t>
  </si>
  <si>
    <t xml:space="preserve">Cosa comprende</t>
  </si>
  <si>
    <t xml:space="preserve">Zona</t>
  </si>
  <si>
    <t xml:space="preserve">Costo annuo € (IVA escl.)</t>
  </si>
  <si>
    <t xml:space="preserve">Contatti 2026 nel registro</t>
  </si>
  <si>
    <t xml:space="preserve">Costo per contatto €</t>
  </si>
  <si>
    <t xml:space="preserve">Note</t>
  </si>
  <si>
    <t xml:space="preserve">Italiaonline – pacchetto digitale</t>
  </si>
  <si>
    <t xml:space="preserve">Italiaonline, ordine B2996193-0 del 11/12/2025 (365 gg, 7 rate SDD dal 27/02/2026)</t>
  </si>
  <si>
    <t xml:space="preserve">InRete Standard+ 1.099; Sito AI Extra 999; Business Contact scheda 50 + sito 449; Google Ads set-up 649 + budget 4.400; PgCasa ScegliTu 50 + ricarica 150; sconto 1° anno −753,56</t>
  </si>
  <si>
    <t xml:space="preserve">Imperia, Savona, Genova (Google Ads)</t>
  </si>
  <si>
    <t xml:space="preserve">Internet – sito / Google</t>
  </si>
  <si>
    <t xml:space="preserve">Sito AI Extra e Google Ads compresi nel contratto Italiaonline</t>
  </si>
  <si>
    <t xml:space="preserve">Richieste arrivate da 'Internet' (nostro sito, Google, Pagine Gialle)</t>
  </si>
  <si>
    <t xml:space="preserve">Tutte</t>
  </si>
  <si>
    <t xml:space="preserve">TOTALE DIGITALE (Italiaonline + Internet)</t>
  </si>
  <si>
    <t xml:space="preserve">Cartelloni CIBRA Genova</t>
  </si>
  <si>
    <t xml:space="preserve">CIBRA Pubblicità, contratto 26/02/2025, 5 anni</t>
  </si>
  <si>
    <t xml:space="preserve">2 impianti monofacciali: C.C. Coop Sestri Ponente (imp. 404) e Coop Pegli (imp. 483); sostituisce il cartello di Albenga (contratto 103509)</t>
  </si>
  <si>
    <t xml:space="preserve">Genova</t>
  </si>
  <si>
    <t xml:space="preserve">Cartellone CIBRA Imperia (Coop)</t>
  </si>
  <si>
    <t xml:space="preserve">CIBRA – da elenco striscioni (approvato 2025)</t>
  </si>
  <si>
    <t xml:space="preserve">Cartellone presso Coop Imperia</t>
  </si>
  <si>
    <t xml:space="preserve">Imperia</t>
  </si>
  <si>
    <t xml:space="preserve">Striscioni campi sportivi</t>
  </si>
  <si>
    <t xml:space="preserve">Vari (vedi foglio Striscioni vs chiamate)</t>
  </si>
  <si>
    <t xml:space="preserve">Striscioni 2x1, 2x3, 5x3 presso campi e palestre</t>
  </si>
  <si>
    <t xml:space="preserve">Sanremo, Taggia, S.Lorenzo, Imperia, Loano, Borghetto, Albenga</t>
  </si>
  <si>
    <t xml:space="preserve">Pubblicità automezzi</t>
  </si>
  <si>
    <t xml:space="preserve">Interna</t>
  </si>
  <si>
    <t xml:space="preserve">Scritte sui camion</t>
  </si>
  <si>
    <t xml:space="preserve">—</t>
  </si>
  <si>
    <t xml:space="preserve">Pubblicità su autobus</t>
  </si>
  <si>
    <t xml:space="preserve">Manifesti derattizzazione</t>
  </si>
  <si>
    <t xml:space="preserve">Manifesti/cartelli derattizzazione</t>
  </si>
  <si>
    <t xml:space="preserve">Quotidiani online</t>
  </si>
  <si>
    <t xml:space="preserve">Banner su quotidiani online</t>
  </si>
  <si>
    <t xml:space="preserve">Portale/elenco</t>
  </si>
  <si>
    <t xml:space="preserve">Clienti, comuni, ecocentri, impianti che ci consigliano</t>
  </si>
  <si>
    <t xml:space="preserve">Spesa pubblicitaria da bilancio (conto 68/05/290 PUBBLICITA')</t>
  </si>
  <si>
    <t xml:space="preserve">Anno</t>
  </si>
  <si>
    <t xml:space="preserve">Pubblicità €</t>
  </si>
  <si>
    <t xml:space="preserve">Ricavi totali €</t>
  </si>
  <si>
    <t xml:space="preserve">Pubblicità % ricavi</t>
  </si>
  <si>
    <t xml:space="preserve">2023</t>
  </si>
  <si>
    <t xml:space="preserve">2024</t>
  </si>
  <si>
    <t xml:space="preserve">2025</t>
  </si>
  <si>
    <t xml:space="preserve">2026 impegnato (Italiaonline + CIBRA)</t>
  </si>
  <si>
    <t xml:space="preserve">Fonte: Bilancio comparato 2023-24-25 (conto economico). 2026: somma contratti noti, striscioni esclusi.</t>
  </si>
  <si>
    <t xml:space="preserve">Striscioni e cartelloni: confronto con il registro chiamate</t>
  </si>
  <si>
    <t xml:space="preserve">Fonte: 'Elenco striscioni e pubblicità aggiornato 2026 Contini'. Le chiamate sono quelle del Registro (gen–set 2026) dai comuni della zona</t>
  </si>
  <si>
    <t xml:space="preserve">Dove</t>
  </si>
  <si>
    <t xml:space="preserve">Tipo</t>
  </si>
  <si>
    <t xml:space="preserve">Costo € (da elenco)</t>
  </si>
  <si>
    <t xml:space="preserve">Periodo</t>
  </si>
  <si>
    <t xml:space="preserve">Stato / pagamento</t>
  </si>
  <si>
    <t xml:space="preserve">Responsabile</t>
  </si>
  <si>
    <t xml:space="preserve">Zona registro</t>
  </si>
  <si>
    <t xml:space="preserve">Chiamate 2026 dalla zona</t>
  </si>
  <si>
    <t xml:space="preserve">di cui dichiarate 'striscione'</t>
  </si>
  <si>
    <t xml:space="preserve">RVS Polisportiva</t>
  </si>
  <si>
    <t xml:space="preserve">Valle Armea Sanremo palestra</t>
  </si>
  <si>
    <t xml:space="preserve">Striscione 2x1 (fisso)</t>
  </si>
  <si>
    <t xml:space="preserve">2023/2024</t>
  </si>
  <si>
    <t xml:space="preserve">Da rimettere e ripagare 2026</t>
  </si>
  <si>
    <t xml:space="preserve">Massimo</t>
  </si>
  <si>
    <t xml:space="preserve">Sanremo / Taggia / S.Lorenzo</t>
  </si>
  <si>
    <t xml:space="preserve">NLP Polisportiva</t>
  </si>
  <si>
    <t xml:space="preserve">Valle Armea Sanremo campo B</t>
  </si>
  <si>
    <t xml:space="preserve">Striscione vecchio forato</t>
  </si>
  <si>
    <t xml:space="preserve">RIMOSSO (strappato) – gratis</t>
  </si>
  <si>
    <t xml:space="preserve">Tennis Club Arma di Taggia</t>
  </si>
  <si>
    <t xml:space="preserve">Arma di Taggia campo sportivo</t>
  </si>
  <si>
    <t xml:space="preserve">Striscione 2x3 plastificato</t>
  </si>
  <si>
    <t xml:space="preserve">2024/2025</t>
  </si>
  <si>
    <t xml:space="preserve">Consegnato; da pagare 2027</t>
  </si>
  <si>
    <t xml:space="preserve">BC Station</t>
  </si>
  <si>
    <t xml:space="preserve">San Lorenzo al Mare / campo Riva</t>
  </si>
  <si>
    <t xml:space="preserve">Striscione 5x3 forato</t>
  </si>
  <si>
    <t xml:space="preserve">2024/2026</t>
  </si>
  <si>
    <t xml:space="preserve">Concluso – scontato su fattura</t>
  </si>
  <si>
    <t xml:space="preserve">Sanremo palestra Villa Citera</t>
  </si>
  <si>
    <t xml:space="preserve">Striscione</t>
  </si>
  <si>
    <t xml:space="preserve">Messo – pagato 300 € nel 2026</t>
  </si>
  <si>
    <t xml:space="preserve">Imperia Volley</t>
  </si>
  <si>
    <t xml:space="preserve">Imperia (in auto da consegnare)</t>
  </si>
  <si>
    <t xml:space="preserve">Striscione 2x1</t>
  </si>
  <si>
    <t xml:space="preserve">2025/2026</t>
  </si>
  <si>
    <t xml:space="preserve">Da approvare – da pagare 2025 e 2026</t>
  </si>
  <si>
    <t xml:space="preserve">Campo Sportivo Borghetto S.S.</t>
  </si>
  <si>
    <t xml:space="preserve">Borghetto S.S.</t>
  </si>
  <si>
    <t xml:space="preserve">Striscione da prendere</t>
  </si>
  <si>
    <t xml:space="preserve">DA METTERE – fermo, non pagato</t>
  </si>
  <si>
    <t xml:space="preserve">Sergio Val</t>
  </si>
  <si>
    <t xml:space="preserve">Loano / Borghetto / Pietra</t>
  </si>
  <si>
    <t xml:space="preserve">Campo Sportivo Loano</t>
  </si>
  <si>
    <t xml:space="preserve">Loano</t>
  </si>
  <si>
    <t xml:space="preserve">Striscioni 2x1 nuovi</t>
  </si>
  <si>
    <t xml:space="preserve">Da mettere/approvare (+ ritiro 4 big bag macerie in cambio)</t>
  </si>
  <si>
    <t xml:space="preserve">Andrea Bac</t>
  </si>
  <si>
    <t xml:space="preserve">ASD Ranzi</t>
  </si>
  <si>
    <t xml:space="preserve">Sagra Ranzi (Pietra Ligure)</t>
  </si>
  <si>
    <t xml:space="preserve">Provvisorio</t>
  </si>
  <si>
    <t xml:space="preserve">Riportato Baccino</t>
  </si>
  <si>
    <t xml:space="preserve">ASD Pontelungo</t>
  </si>
  <si>
    <t xml:space="preserve">Stadio Albenga-Pontelungo</t>
  </si>
  <si>
    <t xml:space="preserve">Striscione 5x3 forato GRANDE</t>
  </si>
  <si>
    <t xml:space="preserve">ott 2025–2027</t>
  </si>
  <si>
    <t xml:space="preserve">Da concordare: 5.000 € per 3 anni a rate</t>
  </si>
  <si>
    <t xml:space="preserve">Albenga</t>
  </si>
  <si>
    <t xml:space="preserve">V.A.L.</t>
  </si>
  <si>
    <t xml:space="preserve">Cisano sul Neva</t>
  </si>
  <si>
    <t xml:space="preserve">Striscione 5x3 nuovo</t>
  </si>
  <si>
    <t xml:space="preserve">In essere – da fare Sergio</t>
  </si>
  <si>
    <t xml:space="preserve">Cisano (V.A.L.)</t>
  </si>
  <si>
    <t xml:space="preserve">Corderia Nazionale</t>
  </si>
  <si>
    <t xml:space="preserve">dal 01/09/2024</t>
  </si>
  <si>
    <t xml:space="preserve">Chiuso – 5% su eventuali lavori</t>
  </si>
  <si>
    <t xml:space="preserve">Aut. Porto Sestri Ponente</t>
  </si>
  <si>
    <t xml:space="preserve">Genova aeroporto</t>
  </si>
  <si>
    <t xml:space="preserve">Cartellone fisso + volantino + online</t>
  </si>
  <si>
    <t xml:space="preserve">annuale</t>
  </si>
  <si>
    <t xml:space="preserve">Stato non indicato</t>
  </si>
  <si>
    <t xml:space="preserve">CIBRA</t>
  </si>
  <si>
    <t xml:space="preserve">Coop Imperia</t>
  </si>
  <si>
    <t xml:space="preserve">Cartellone</t>
  </si>
  <si>
    <t xml:space="preserve">Approvata – in essere</t>
  </si>
  <si>
    <t xml:space="preserve">Kikko</t>
  </si>
  <si>
    <t xml:space="preserve">Coop Sestri Ponente + Coop Pegli (Genova)</t>
  </si>
  <si>
    <t xml:space="preserve">2 cartelloni monofacciali</t>
  </si>
  <si>
    <t xml:space="preserve">2025–2030</t>
  </si>
  <si>
    <t xml:space="preserve">In essere (contratto 26/02/2025)</t>
  </si>
  <si>
    <t xml:space="preserve">Kikko / Pasini</t>
  </si>
  <si>
    <t xml:space="preserve">Italiaonline PgCasa + Google Ads</t>
  </si>
  <si>
    <t xml:space="preserve">Imperia, Savona, Genova</t>
  </si>
  <si>
    <t xml:space="preserve">Campagna digitale</t>
  </si>
  <si>
    <t xml:space="preserve">Da riapprovare (vedi contratto 2026: 7.999,94 €)</t>
  </si>
  <si>
    <t xml:space="preserve">Massimo / Kikko</t>
  </si>
  <si>
    <t xml:space="preserve">Zone senza striscioni/cartelloni</t>
  </si>
  <si>
    <t xml:space="preserve">vedi foglio Canali</t>
  </si>
  <si>
    <t xml:space="preserve">Totale striscioni campi sportivi (da elenco)</t>
  </si>
  <si>
    <t xml:space="preserve">Nota: Pontelungo (5.000 €) è su 3 anni; molti importi sono 'da pagare' o 'da approvare'.</t>
  </si>
  <si>
    <t xml:space="preserve">Chiamate 2026 per zona e provenienza dichiarata</t>
  </si>
  <si>
    <t xml:space="preserve">Altre</t>
  </si>
  <si>
    <t xml:space="preserve">Servizio più richiesto</t>
  </si>
  <si>
    <t xml:space="preserve">Bonifiche (7 su 14)</t>
  </si>
  <si>
    <t xml:space="preserve">Bonifiche (3 su 8)</t>
  </si>
  <si>
    <t xml:space="preserve">Disinfestazione (4 su 16)</t>
  </si>
  <si>
    <t xml:space="preserve">Bonifiche (2 su 4)</t>
  </si>
  <si>
    <t xml:space="preserve">Da Specificare (5 su 7)</t>
  </si>
  <si>
    <t xml:space="preserve">Rifiuti (33 su 130)</t>
  </si>
  <si>
    <t xml:space="preserve">CONCLUSIONE</t>
  </si>
  <si>
    <t xml:space="preserve">1) Nel registro chiamate 2026 NESSUN contatto è segnato come arrivato da striscione o cartellone: la reception non ha questa voce in 'Provenienza'.</t>
  </si>
  <si>
    <t xml:space="preserve">2) Dalle zone con striscioni (Sanremo-Taggia, Imperia, Loano-Borghetto-Pietra, Albenga) arrivano chiamate, ma quasi tutte dichiarate 'Passaparola', 'Italiaonline' o 'Internet'.</t>
  </si>
  <si>
    <t xml:space="preserve">3) Genova (2 cartelloni CIBRA, circa 2.185 €/anno): 7 chiamate, 3 dal sito e 3 da passaparola, nessuna dal cartellone.</t>
  </si>
  <si>
    <t xml:space="preserve">4) Da fare subito: aggiungere in reception la provenienza 'STRISCIONE/CARTELLONE' + chiedere sempre 'dove ci ha visto?'. Senza questo dato non si può misurare il ritorno degli striscioni.</t>
  </si>
  <si>
    <t xml:space="preserve">5) Prima di firmare Pontelungo (5.000 € in 3 anni) conviene 3 mesi di prova con la domanda in reception.</t>
  </si>
  <si>
    <t xml:space="preserve">Contatti dal modulo web (rubriche Italiaonline) – confronto con il Registro</t>
  </si>
  <si>
    <t xml:space="preserve">File: rubrica Contatti sito dal 2021, Rubrica IOL al 29/10/2025, Backup rubrica 17/08/2026. 'Nel registro?' si aggiorna da solo cercando l'email nel Registro</t>
  </si>
  <si>
    <t xml:space="preserve">Data</t>
  </si>
  <si>
    <t xml:space="preserve">Rubrica</t>
  </si>
  <si>
    <t xml:space="preserve">Nome</t>
  </si>
  <si>
    <t xml:space="preserve">Cognome</t>
  </si>
  <si>
    <t xml:space="preserve">Telefono (dal CSV)</t>
  </si>
  <si>
    <t xml:space="preserve">Email</t>
  </si>
  <si>
    <t xml:space="preserve">Newsletter</t>
  </si>
  <si>
    <t xml:space="preserve">Nel registro?</t>
  </si>
  <si>
    <t xml:space="preserve">Riepilogo per anno</t>
  </si>
  <si>
    <t xml:space="preserve">Contatti web</t>
  </si>
  <si>
    <t xml:space="preserve">Media al mese</t>
  </si>
  <si>
    <t xml:space="preserve">IOL 2026</t>
  </si>
  <si>
    <t xml:space="preserve">SIMONE</t>
  </si>
  <si>
    <t xml:space="preserve">CONTI</t>
  </si>
  <si>
    <t xml:space="preserve">3,93355E+11</t>
  </si>
  <si>
    <t xml:space="preserve">simonecontig@gmail.com</t>
  </si>
  <si>
    <t xml:space="preserve">no</t>
  </si>
  <si>
    <t xml:space="preserve">2021 (da apr)</t>
  </si>
  <si>
    <t xml:space="preserve">Alessandro</t>
  </si>
  <si>
    <t xml:space="preserve">Averla</t>
  </si>
  <si>
    <t xml:space="preserve">3,90198E+11</t>
  </si>
  <si>
    <t xml:space="preserve">info@averla.it</t>
  </si>
  <si>
    <t xml:space="preserve">sì</t>
  </si>
  <si>
    <t xml:space="preserve">2022</t>
  </si>
  <si>
    <t xml:space="preserve">Monica</t>
  </si>
  <si>
    <t xml:space="preserve">Molecca</t>
  </si>
  <si>
    <t xml:space="preserve">3,93477E+11</t>
  </si>
  <si>
    <t xml:space="preserve">monicavale1972@libero.it</t>
  </si>
  <si>
    <t xml:space="preserve">INOX</t>
  </si>
  <si>
    <t xml:space="preserve">SIGNAL</t>
  </si>
  <si>
    <t xml:space="preserve">39019801737</t>
  </si>
  <si>
    <t xml:space="preserve">inoxsignalsrl@gmail.com</t>
  </si>
  <si>
    <t xml:space="preserve">umberto</t>
  </si>
  <si>
    <t xml:space="preserve">di sario</t>
  </si>
  <si>
    <t xml:space="preserve">3,93277E+11</t>
  </si>
  <si>
    <t xml:space="preserve">desse10@virgilio.it</t>
  </si>
  <si>
    <t xml:space="preserve">2025 (fino a ott)</t>
  </si>
  <si>
    <t xml:space="preserve">Stefan</t>
  </si>
  <si>
    <t xml:space="preserve">Politzka</t>
  </si>
  <si>
    <t xml:space="preserve">4,91793E+11</t>
  </si>
  <si>
    <t xml:space="preserve">stefan_politzka@posteo.de</t>
  </si>
  <si>
    <t xml:space="preserve">2026 (mar–lug)</t>
  </si>
  <si>
    <t xml:space="preserve">Chiara</t>
  </si>
  <si>
    <t xml:space="preserve">Orlandini</t>
  </si>
  <si>
    <t xml:space="preserve">3,93665E+11</t>
  </si>
  <si>
    <t xml:space="preserve">chiara.or.999@gmail.com</t>
  </si>
  <si>
    <t xml:space="preserve">Stefania</t>
  </si>
  <si>
    <t xml:space="preserve">Pisano</t>
  </si>
  <si>
    <t xml:space="preserve">3,93342E+11</t>
  </si>
  <si>
    <t xml:space="preserve">ste.pi72@yahoo.it</t>
  </si>
  <si>
    <t xml:space="preserve">Contatti web 2026</t>
  </si>
  <si>
    <t xml:space="preserve">ChangHong</t>
  </si>
  <si>
    <t xml:space="preserve">S.R.L</t>
  </si>
  <si>
    <t xml:space="preserve">3,93384E+11</t>
  </si>
  <si>
    <t xml:space="preserve">chdstudio2026@gmail.com</t>
  </si>
  <si>
    <t xml:space="preserve">…di cui presenti nel Registro</t>
  </si>
  <si>
    <t xml:space="preserve">Giovanni</t>
  </si>
  <si>
    <t xml:space="preserve">Denert</t>
  </si>
  <si>
    <t xml:space="preserve">3,93467E+11</t>
  </si>
  <si>
    <t xml:space="preserve">giovanni.denert@gmail.com</t>
  </si>
  <si>
    <t xml:space="preserve">…NON presenti nel Registro</t>
  </si>
  <si>
    <t xml:space="preserve">Alessandra</t>
  </si>
  <si>
    <t xml:space="preserve">Minelli</t>
  </si>
  <si>
    <t xml:space="preserve">3,93409E+11</t>
  </si>
  <si>
    <t xml:space="preserve">minelli.amministrazioni@gmail.com</t>
  </si>
  <si>
    <t xml:space="preserve">Para</t>
  </si>
  <si>
    <t xml:space="preserve">3,93478E+11</t>
  </si>
  <si>
    <t xml:space="preserve">para.alessandro@libero.it</t>
  </si>
  <si>
    <t xml:space="preserve">Nota: i CSV hanno i telefoni in formato scientifico (es. 3,93385E+11): cifre perse. Esportare di nuovo dall'area clienti Italiaonline aprendo il CSV come testo.</t>
  </si>
  <si>
    <t xml:space="preserve">Adriana</t>
  </si>
  <si>
    <t xml:space="preserve">Popolo</t>
  </si>
  <si>
    <t xml:space="preserve">3,93385E+11</t>
  </si>
  <si>
    <t xml:space="preserve">adrianapopolo02@gmail.com</t>
  </si>
  <si>
    <t xml:space="preserve">Manca il periodo nov 2025 – feb 2026 (nessuna rubrica esportata).</t>
  </si>
  <si>
    <t xml:space="preserve">Ireni</t>
  </si>
  <si>
    <t xml:space="preserve">Oliveira</t>
  </si>
  <si>
    <t xml:space="preserve">3,9327E+11</t>
  </si>
  <si>
    <t xml:space="preserve">irenibarbosa.ib@gmail.com</t>
  </si>
  <si>
    <t xml:space="preserve">Andrea</t>
  </si>
  <si>
    <t xml:space="preserve">Magni</t>
  </si>
  <si>
    <t xml:space="preserve">3,93356E+11</t>
  </si>
  <si>
    <t xml:space="preserve">andreamagni@me.com</t>
  </si>
  <si>
    <t xml:space="preserve">ELDA</t>
  </si>
  <si>
    <t xml:space="preserve">CARAGNO</t>
  </si>
  <si>
    <t xml:space="preserve">3,93394E+11</t>
  </si>
  <si>
    <t xml:space="preserve">cfcarni@libero.it</t>
  </si>
  <si>
    <t xml:space="preserve">roberto</t>
  </si>
  <si>
    <t xml:space="preserve">locatelli</t>
  </si>
  <si>
    <t xml:space="preserve">3,93386E+11</t>
  </si>
  <si>
    <t xml:space="preserve">robiloca68@gmail.com</t>
  </si>
  <si>
    <t xml:space="preserve">Martin</t>
  </si>
  <si>
    <t xml:space="preserve">Nilsson</t>
  </si>
  <si>
    <t xml:space="preserve">46768653193</t>
  </si>
  <si>
    <t xml:space="preserve">martin.nilsson7210@gmail.com.com</t>
  </si>
  <si>
    <t xml:space="preserve">Fulvio Francesco</t>
  </si>
  <si>
    <t xml:space="preserve">Palmieri</t>
  </si>
  <si>
    <t xml:space="preserve">3,93487E+11</t>
  </si>
  <si>
    <t xml:space="preserve">fulvioingpalmieri@libero.it</t>
  </si>
  <si>
    <t xml:space="preserve">Emily</t>
  </si>
  <si>
    <t xml:space="preserve">Mirch</t>
  </si>
  <si>
    <t xml:space="preserve">39347369777</t>
  </si>
  <si>
    <t xml:space="preserve">mirchemily@gmail.com</t>
  </si>
  <si>
    <t xml:space="preserve">Ettore</t>
  </si>
  <si>
    <t xml:space="preserve">Carpentieri</t>
  </si>
  <si>
    <t xml:space="preserve">3,93406E+11</t>
  </si>
  <si>
    <t xml:space="preserve">ettore.carpentieri@gmail.com</t>
  </si>
  <si>
    <t xml:space="preserve">Lucrezia</t>
  </si>
  <si>
    <t xml:space="preserve">Fasolo</t>
  </si>
  <si>
    <t xml:space="preserve">3,93202E+11</t>
  </si>
  <si>
    <t xml:space="preserve">lucreziafasolo94@gmail.com</t>
  </si>
  <si>
    <t xml:space="preserve">Anna</t>
  </si>
  <si>
    <t xml:space="preserve">Marangon</t>
  </si>
  <si>
    <t xml:space="preserve">3,93287E+11</t>
  </si>
  <si>
    <t xml:space="preserve">maria.m48@icloud.com</t>
  </si>
  <si>
    <t xml:space="preserve">Felisia</t>
  </si>
  <si>
    <t xml:space="preserve">D’Andrea</t>
  </si>
  <si>
    <t xml:space="preserve">3,93407E+11</t>
  </si>
  <si>
    <t xml:space="preserve">felisiadandrea@libero.it</t>
  </si>
  <si>
    <t xml:space="preserve">Riccardo</t>
  </si>
  <si>
    <t xml:space="preserve">Campi</t>
  </si>
  <si>
    <t xml:space="preserve">3,93495E+11</t>
  </si>
  <si>
    <t xml:space="preserve">rikic1979@gmail.com</t>
  </si>
  <si>
    <t xml:space="preserve">LUCA</t>
  </si>
  <si>
    <t xml:space="preserve">MURIALDO</t>
  </si>
  <si>
    <t xml:space="preserve">3,93497E+11</t>
  </si>
  <si>
    <t xml:space="preserve">luca.murialdo@tiscali.it</t>
  </si>
  <si>
    <t xml:space="preserve">Stasi</t>
  </si>
  <si>
    <t xml:space="preserve">3,93401E+11</t>
  </si>
  <si>
    <t xml:space="preserve">stefanis.505@gmail.com</t>
  </si>
  <si>
    <t xml:space="preserve">Francesco</t>
  </si>
  <si>
    <t xml:space="preserve">Andreotti</t>
  </si>
  <si>
    <t xml:space="preserve">andreotti.franc@gmail.com</t>
  </si>
  <si>
    <t xml:space="preserve">maram</t>
  </si>
  <si>
    <t xml:space="preserve">keshk</t>
  </si>
  <si>
    <t xml:space="preserve">3,93926E+11</t>
  </si>
  <si>
    <t xml:space="preserve">maramkeshk5@gmail.com</t>
  </si>
  <si>
    <t xml:space="preserve">Marcello</t>
  </si>
  <si>
    <t xml:space="preserve">Federico</t>
  </si>
  <si>
    <t xml:space="preserve">3,93468E+11</t>
  </si>
  <si>
    <t xml:space="preserve">marcello.federico@tim.it</t>
  </si>
  <si>
    <t xml:space="preserve">IOL nov24-ott25</t>
  </si>
  <si>
    <t xml:space="preserve">Sergio</t>
  </si>
  <si>
    <t xml:space="preserve">Marras</t>
  </si>
  <si>
    <t xml:space="preserve">3,93281E+11</t>
  </si>
  <si>
    <t xml:space="preserve">smarrs69@gmail.com</t>
  </si>
  <si>
    <t xml:space="preserve">Caridi</t>
  </si>
  <si>
    <t xml:space="preserve">Franco</t>
  </si>
  <si>
    <t xml:space="preserve">francocaridi.ge@gmail.com</t>
  </si>
  <si>
    <t xml:space="preserve">domenico</t>
  </si>
  <si>
    <t xml:space="preserve">migliozzi</t>
  </si>
  <si>
    <t xml:space="preserve">mmigliozzidomenico@libero.it.it</t>
  </si>
  <si>
    <t xml:space="preserve">Giacomo</t>
  </si>
  <si>
    <t xml:space="preserve">Fanti</t>
  </si>
  <si>
    <t xml:space="preserve">arnoldo@hotmail.it</t>
  </si>
  <si>
    <t xml:space="preserve">Sonia</t>
  </si>
  <si>
    <t xml:space="preserve">Coppa</t>
  </si>
  <si>
    <t xml:space="preserve">3,9348E+11</t>
  </si>
  <si>
    <t xml:space="preserve">sonia.coppa@gmail.com</t>
  </si>
  <si>
    <t xml:space="preserve">Mattia</t>
  </si>
  <si>
    <t xml:space="preserve">Pozzati</t>
  </si>
  <si>
    <t xml:space="preserve">3,93485E+11</t>
  </si>
  <si>
    <t xml:space="preserve">matti.pozzati@gmail.com</t>
  </si>
  <si>
    <t xml:space="preserve">Masoero</t>
  </si>
  <si>
    <t xml:space="preserve">3,93288E+11</t>
  </si>
  <si>
    <t xml:space="preserve">sander.masoero@gmail.com</t>
  </si>
  <si>
    <t xml:space="preserve">Sherin</t>
  </si>
  <si>
    <t xml:space="preserve">Charles</t>
  </si>
  <si>
    <t xml:space="preserve">3,98439E+11</t>
  </si>
  <si>
    <t xml:space="preserve">recycling@crgconferences.org</t>
  </si>
  <si>
    <t xml:space="preserve">Matteo</t>
  </si>
  <si>
    <t xml:space="preserve">Anselmo</t>
  </si>
  <si>
    <t xml:space="preserve">3,93716E+11</t>
  </si>
  <si>
    <t xml:space="preserve">lamaz@me.com</t>
  </si>
  <si>
    <t xml:space="preserve">SERGIO</t>
  </si>
  <si>
    <t xml:space="preserve">DAPRELA'</t>
  </si>
  <si>
    <t xml:space="preserve">3,93494E+11</t>
  </si>
  <si>
    <t xml:space="preserve">violaviola855@gmail.com</t>
  </si>
  <si>
    <t xml:space="preserve">mariangela</t>
  </si>
  <si>
    <t xml:space="preserve">tramontano</t>
  </si>
  <si>
    <t xml:space="preserve">3,93924E+11</t>
  </si>
  <si>
    <t xml:space="preserve">m_tramontano@yahoo.it</t>
  </si>
  <si>
    <t xml:space="preserve">Antonio</t>
  </si>
  <si>
    <t xml:space="preserve">Piccirillo</t>
  </si>
  <si>
    <t xml:space="preserve">3,93923E+11</t>
  </si>
  <si>
    <t xml:space="preserve">antowolf80@gmail.com</t>
  </si>
  <si>
    <t xml:space="preserve">Regina</t>
  </si>
  <si>
    <t xml:space="preserve">Hemsing</t>
  </si>
  <si>
    <t xml:space="preserve">4,91765E+12</t>
  </si>
  <si>
    <t xml:space="preserve">reginahemsing@yahoo.de</t>
  </si>
  <si>
    <t xml:space="preserve">silvia</t>
  </si>
  <si>
    <t xml:space="preserve">modesti</t>
  </si>
  <si>
    <t xml:space="preserve">3,93402E+11</t>
  </si>
  <si>
    <t xml:space="preserve">silvia.990@libero.it</t>
  </si>
  <si>
    <t xml:space="preserve">Merello</t>
  </si>
  <si>
    <t xml:space="preserve">merello.stefania48@libero.it</t>
  </si>
  <si>
    <t xml:space="preserve">Lisa</t>
  </si>
  <si>
    <t xml:space="preserve">RICCI</t>
  </si>
  <si>
    <t xml:space="preserve">3,93479E+11</t>
  </si>
  <si>
    <t xml:space="preserve">lisa.riccigaia@gmail.com</t>
  </si>
  <si>
    <t xml:space="preserve">Claudio</t>
  </si>
  <si>
    <t xml:space="preserve">Seravalli</t>
  </si>
  <si>
    <t xml:space="preserve">3,93516E+11</t>
  </si>
  <si>
    <t xml:space="preserve">servizi.imperia@coopinterazioni.eu</t>
  </si>
  <si>
    <t xml:space="preserve">Gregorio</t>
  </si>
  <si>
    <t xml:space="preserve">Amadei</t>
  </si>
  <si>
    <t xml:space="preserve">3,93347E+11</t>
  </si>
  <si>
    <t xml:space="preserve">gregorioamadei@gmail.com</t>
  </si>
  <si>
    <t xml:space="preserve">Dario</t>
  </si>
  <si>
    <t xml:space="preserve">Merciari</t>
  </si>
  <si>
    <t xml:space="preserve">3,93915E+11</t>
  </si>
  <si>
    <t xml:space="preserve">dario.merciari@gmail.com</t>
  </si>
  <si>
    <t xml:space="preserve">Paolo</t>
  </si>
  <si>
    <t xml:space="preserve">Panagia</t>
  </si>
  <si>
    <t xml:space="preserve">3,93482E+11</t>
  </si>
  <si>
    <t xml:space="preserve">panagiapaolo0@gmail.com</t>
  </si>
  <si>
    <t xml:space="preserve">Antonella</t>
  </si>
  <si>
    <t xml:space="preserve">De Pietro</t>
  </si>
  <si>
    <t xml:space="preserve">vamdp86@gmail.com</t>
  </si>
  <si>
    <t xml:space="preserve">Anna Maria</t>
  </si>
  <si>
    <t xml:space="preserve">Faggioni</t>
  </si>
  <si>
    <t xml:space="preserve">pomarellipatrizia@gmail.com</t>
  </si>
  <si>
    <t xml:space="preserve">Antonietta</t>
  </si>
  <si>
    <t xml:space="preserve">Gambarini</t>
  </si>
  <si>
    <t xml:space="preserve">3,9389E+11</t>
  </si>
  <si>
    <t xml:space="preserve">gambariniantonietta@gmail.com</t>
  </si>
  <si>
    <t xml:space="preserve">MASSIMO</t>
  </si>
  <si>
    <t xml:space="preserve">CANELLA</t>
  </si>
  <si>
    <t xml:space="preserve">3,9347E+11</t>
  </si>
  <si>
    <t xml:space="preserve">canella1956@gmail.com</t>
  </si>
  <si>
    <t xml:space="preserve">Donatella</t>
  </si>
  <si>
    <t xml:space="preserve">Santi</t>
  </si>
  <si>
    <t xml:space="preserve">3,93492E+11</t>
  </si>
  <si>
    <t xml:space="preserve">mario.seva@yahoo.com</t>
  </si>
  <si>
    <t xml:space="preserve">Marina</t>
  </si>
  <si>
    <t xml:space="preserve">De Conti</t>
  </si>
  <si>
    <t xml:space="preserve">3,93282E+11</t>
  </si>
  <si>
    <t xml:space="preserve">marinadeconti51@gmail.com</t>
  </si>
  <si>
    <t xml:space="preserve">marinadeconti51@gmsil.com</t>
  </si>
  <si>
    <t xml:space="preserve">GEROLAMO</t>
  </si>
  <si>
    <t xml:space="preserve">FERRO</t>
  </si>
  <si>
    <t xml:space="preserve">3,93454E+11</t>
  </si>
  <si>
    <t xml:space="preserve">ferromino@libero.it</t>
  </si>
  <si>
    <t xml:space="preserve">Fernanda</t>
  </si>
  <si>
    <t xml:space="preserve">Gasparini</t>
  </si>
  <si>
    <t xml:space="preserve">3,93291E+11</t>
  </si>
  <si>
    <t xml:space="preserve">pierinafernanda@gmail.com</t>
  </si>
  <si>
    <t xml:space="preserve">Luca</t>
  </si>
  <si>
    <t xml:space="preserve">Monaco</t>
  </si>
  <si>
    <t xml:space="preserve">3,93391E+11</t>
  </si>
  <si>
    <t xml:space="preserve">lucan1@libero.it</t>
  </si>
  <si>
    <t xml:space="preserve">Erika</t>
  </si>
  <si>
    <t xml:space="preserve">Ferrari</t>
  </si>
  <si>
    <t xml:space="preserve">3,93286E+11</t>
  </si>
  <si>
    <t xml:space="preserve">ericuzza593@gmail.com</t>
  </si>
  <si>
    <t xml:space="preserve">Miriam</t>
  </si>
  <si>
    <t xml:space="preserve">Mudo</t>
  </si>
  <si>
    <t xml:space="preserve">3,93499E+11</t>
  </si>
  <si>
    <t xml:space="preserve">miriammartini296@gmail.com</t>
  </si>
  <si>
    <t xml:space="preserve">Rocco</t>
  </si>
  <si>
    <t xml:space="preserve">Villivà</t>
  </si>
  <si>
    <t xml:space="preserve">valentina.villiva@gmail.com</t>
  </si>
  <si>
    <t xml:space="preserve">Actis Grosso</t>
  </si>
  <si>
    <t xml:space="preserve">3,93428E+11</t>
  </si>
  <si>
    <t xml:space="preserve">alessandroactisgrosso@gmail.com</t>
  </si>
  <si>
    <t xml:space="preserve">ANTONELLA</t>
  </si>
  <si>
    <t xml:space="preserve">MASINI</t>
  </si>
  <si>
    <t xml:space="preserve">edipo.cinque@gmail.com</t>
  </si>
  <si>
    <t xml:space="preserve">Gian Luca</t>
  </si>
  <si>
    <t xml:space="preserve">Raineri</t>
  </si>
  <si>
    <t xml:space="preserve">3,93348E+11</t>
  </si>
  <si>
    <t xml:space="preserve">gianluca.raineri@yahoo.it</t>
  </si>
  <si>
    <t xml:space="preserve">Alberto</t>
  </si>
  <si>
    <t xml:space="preserve">Molinari</t>
  </si>
  <si>
    <t xml:space="preserve">3,93403E+11</t>
  </si>
  <si>
    <t xml:space="preserve">tiziana.manni1961@gmail.com</t>
  </si>
  <si>
    <t xml:space="preserve">Ardito</t>
  </si>
  <si>
    <t xml:space="preserve">3,93289E+11</t>
  </si>
  <si>
    <t xml:space="preserve">studioardito1@gmail.com</t>
  </si>
  <si>
    <t xml:space="preserve">Filomena</t>
  </si>
  <si>
    <t xml:space="preserve">Murano</t>
  </si>
  <si>
    <t xml:space="preserve">3,93792E+11</t>
  </si>
  <si>
    <t xml:space="preserve">penny80.mm@gmail.com</t>
  </si>
  <si>
    <t xml:space="preserve">bellone</t>
  </si>
  <si>
    <t xml:space="preserve">3,93758E+11</t>
  </si>
  <si>
    <t xml:space="preserve">belloneroberto7@gmail.com</t>
  </si>
  <si>
    <t xml:space="preserve">ELISABETTA</t>
  </si>
  <si>
    <t xml:space="preserve">BARBORO</t>
  </si>
  <si>
    <t xml:space="preserve">ebarboro@gmail.com</t>
  </si>
  <si>
    <t xml:space="preserve">Laura</t>
  </si>
  <si>
    <t xml:space="preserve">Cremonesi</t>
  </si>
  <si>
    <t xml:space="preserve">3,93382E+11</t>
  </si>
  <si>
    <t xml:space="preserve">laura.cremonesi20@gmail.com</t>
  </si>
  <si>
    <t xml:space="preserve">Maddalena</t>
  </si>
  <si>
    <t xml:space="preserve">Alberti</t>
  </si>
  <si>
    <t xml:space="preserve">3,93352E+11</t>
  </si>
  <si>
    <t xml:space="preserve">madda.luca.niko@gmail.com</t>
  </si>
  <si>
    <t xml:space="preserve">Pitanti</t>
  </si>
  <si>
    <t xml:space="preserve">3,93296E+11</t>
  </si>
  <si>
    <t xml:space="preserve">pitanti1991@gmail.com</t>
  </si>
  <si>
    <t xml:space="preserve">Maria Carmen</t>
  </si>
  <si>
    <t xml:space="preserve">Zanatta</t>
  </si>
  <si>
    <t xml:space="preserve">3,93332E+11</t>
  </si>
  <si>
    <t xml:space="preserve">m.carmenzanatta63@gmail.com</t>
  </si>
  <si>
    <t xml:space="preserve">ANDREA</t>
  </si>
  <si>
    <t xml:space="preserve">Barbero</t>
  </si>
  <si>
    <t xml:space="preserve">3,90183E+11</t>
  </si>
  <si>
    <t xml:space="preserve">duzzibarbero@gmail.com</t>
  </si>
  <si>
    <t xml:space="preserve">Lacchia</t>
  </si>
  <si>
    <t xml:space="preserve">3,93471E+11</t>
  </si>
  <si>
    <t xml:space="preserve">francesco.lacchia@gmail.com</t>
  </si>
  <si>
    <t xml:space="preserve">Aurora</t>
  </si>
  <si>
    <t xml:space="preserve">Cassano</t>
  </si>
  <si>
    <t xml:space="preserve">3,93486E+11</t>
  </si>
  <si>
    <t xml:space="preserve">aurora.cassano@libero.it</t>
  </si>
  <si>
    <t xml:space="preserve">annalisa</t>
  </si>
  <si>
    <t xml:space="preserve">oggioni</t>
  </si>
  <si>
    <t xml:space="preserve">3,93207E+11</t>
  </si>
  <si>
    <t xml:space="preserve">sitecalassio@libero.it</t>
  </si>
  <si>
    <t xml:space="preserve">Sangita</t>
  </si>
  <si>
    <t xml:space="preserve">Loconte</t>
  </si>
  <si>
    <t xml:space="preserve">sangita.loconte@italiaonline.it</t>
  </si>
  <si>
    <t xml:space="preserve">Diego</t>
  </si>
  <si>
    <t xml:space="preserve">Repetto</t>
  </si>
  <si>
    <t xml:space="preserve">russorepetto@gmail.com</t>
  </si>
  <si>
    <t xml:space="preserve">Marco</t>
  </si>
  <si>
    <t xml:space="preserve">Cocito</t>
  </si>
  <si>
    <t xml:space="preserve">3,93357E+11</t>
  </si>
  <si>
    <t xml:space="preserve">marcococito67@gmail.com</t>
  </si>
  <si>
    <t xml:space="preserve">Gabriele</t>
  </si>
  <si>
    <t xml:space="preserve">Cramarossa</t>
  </si>
  <si>
    <t xml:space="preserve">gabriele04.cramarossa@gmail.com</t>
  </si>
  <si>
    <t xml:space="preserve">Pietro</t>
  </si>
  <si>
    <t xml:space="preserve">Tuffarini</t>
  </si>
  <si>
    <t xml:space="preserve">pietro.tuffarini@gmail.com</t>
  </si>
  <si>
    <t xml:space="preserve">Virgilio</t>
  </si>
  <si>
    <t xml:space="preserve">Caccia</t>
  </si>
  <si>
    <t xml:space="preserve">virgiliocaccia@gmail.com</t>
  </si>
  <si>
    <t xml:space="preserve">chiara</t>
  </si>
  <si>
    <t xml:space="preserve">maiga</t>
  </si>
  <si>
    <t xml:space="preserve">3,93491E+11</t>
  </si>
  <si>
    <t xml:space="preserve">chiaramaiga@gmail.com</t>
  </si>
  <si>
    <t xml:space="preserve">Giuliano</t>
  </si>
  <si>
    <t xml:space="preserve">Panizza</t>
  </si>
  <si>
    <t xml:space="preserve">3,93703E+11</t>
  </si>
  <si>
    <t xml:space="preserve">jackflor@libero.it</t>
  </si>
  <si>
    <t xml:space="preserve">CARLO GIULIO</t>
  </si>
  <si>
    <t xml:space="preserve">COLOMBO</t>
  </si>
  <si>
    <t xml:space="preserve">3,93204E+11</t>
  </si>
  <si>
    <t xml:space="preserve">colombocarlogiulio@gmail.com</t>
  </si>
  <si>
    <t xml:space="preserve">Elena</t>
  </si>
  <si>
    <t xml:space="preserve">Badile</t>
  </si>
  <si>
    <t xml:space="preserve">3,93464E+11</t>
  </si>
  <si>
    <t xml:space="preserve">elena.badile@gmail.com</t>
  </si>
  <si>
    <t xml:space="preserve">fabio</t>
  </si>
  <si>
    <t xml:space="preserve">crivellari</t>
  </si>
  <si>
    <t xml:space="preserve">info@avantgardesrl.tv</t>
  </si>
  <si>
    <t xml:space="preserve">Lidia</t>
  </si>
  <si>
    <t xml:space="preserve">massilidia@gmail.com</t>
  </si>
  <si>
    <t xml:space="preserve">Carlotta</t>
  </si>
  <si>
    <t xml:space="preserve">Patrone</t>
  </si>
  <si>
    <t xml:space="preserve">3,93339E+11</t>
  </si>
  <si>
    <t xml:space="preserve">ottapatrone@gmail.com</t>
  </si>
  <si>
    <t xml:space="preserve">Roberto</t>
  </si>
  <si>
    <t xml:space="preserve">Savioli</t>
  </si>
  <si>
    <t xml:space="preserve">3,93481E+11</t>
  </si>
  <si>
    <t xml:space="preserve">savioli60@gmail.com</t>
  </si>
  <si>
    <t xml:space="preserve">Beatrice</t>
  </si>
  <si>
    <t xml:space="preserve">Biasioli</t>
  </si>
  <si>
    <t xml:space="preserve">bea.biasioli@libero.it</t>
  </si>
  <si>
    <t xml:space="preserve">Gianna</t>
  </si>
  <si>
    <t xml:space="preserve">Belli</t>
  </si>
  <si>
    <t xml:space="preserve">giannabelli@libero.it</t>
  </si>
  <si>
    <t xml:space="preserve">Antonina</t>
  </si>
  <si>
    <t xml:space="preserve">Bonaccorso</t>
  </si>
  <si>
    <t xml:space="preserve">3,93472E+11</t>
  </si>
  <si>
    <t xml:space="preserve">antoninabonaccorso1@gmail.com</t>
  </si>
  <si>
    <t xml:space="preserve">Celestino</t>
  </si>
  <si>
    <t xml:space="preserve">Zanni</t>
  </si>
  <si>
    <t xml:space="preserve">costruzionizanni@gmail.com</t>
  </si>
  <si>
    <t xml:space="preserve">MATTIA</t>
  </si>
  <si>
    <t xml:space="preserve">SARDU</t>
  </si>
  <si>
    <t xml:space="preserve">3,93476E+11</t>
  </si>
  <si>
    <t xml:space="preserve">mattia@tuttolegnodibadano.it</t>
  </si>
  <si>
    <t xml:space="preserve">Tiborne</t>
  </si>
  <si>
    <t xml:space="preserve">Gomori</t>
  </si>
  <si>
    <t xml:space="preserve">gomoritundi@gmail.com</t>
  </si>
  <si>
    <t xml:space="preserve">Gianpaolo</t>
  </si>
  <si>
    <t xml:space="preserve">Bonato</t>
  </si>
  <si>
    <t xml:space="preserve">3,93393E+11</t>
  </si>
  <si>
    <t xml:space="preserve">gianpaolobonato50@gmail.com</t>
  </si>
  <si>
    <t xml:space="preserve">Lula</t>
  </si>
  <si>
    <t xml:space="preserve">Gajetta</t>
  </si>
  <si>
    <t xml:space="preserve">3,93311E+11</t>
  </si>
  <si>
    <t xml:space="preserve">lulagajetta06@gmail.com</t>
  </si>
  <si>
    <t xml:space="preserve">matteo</t>
  </si>
  <si>
    <t xml:space="preserve">lucà</t>
  </si>
  <si>
    <t xml:space="preserve">3,93272E+11</t>
  </si>
  <si>
    <t xml:space="preserve">matteoluca_1998@yahoo.com</t>
  </si>
  <si>
    <t xml:space="preserve">Michele</t>
  </si>
  <si>
    <t xml:space="preserve">Tassara</t>
  </si>
  <si>
    <t xml:space="preserve">3,93896E+11</t>
  </si>
  <si>
    <t xml:space="preserve">micheletassara@gmail.com</t>
  </si>
  <si>
    <t xml:space="preserve">Cristina</t>
  </si>
  <si>
    <t xml:space="preserve">Fodde</t>
  </si>
  <si>
    <t xml:space="preserve">criossx@gmail.com</t>
  </si>
  <si>
    <t xml:space="preserve">Bolidea spa</t>
  </si>
  <si>
    <t xml:space="preserve">marco pozzo</t>
  </si>
  <si>
    <t xml:space="preserve">mpozzo@bolidea.it</t>
  </si>
  <si>
    <t xml:space="preserve">Vishal</t>
  </si>
  <si>
    <t xml:space="preserve">Gupta</t>
  </si>
  <si>
    <t xml:space="preserve">3,90958E+12</t>
  </si>
  <si>
    <t xml:space="preserve">ranamothers@gmail.com</t>
  </si>
  <si>
    <t xml:space="preserve">Giorgia</t>
  </si>
  <si>
    <t xml:space="preserve">Ammirati</t>
  </si>
  <si>
    <t xml:space="preserve">3,93405E+11</t>
  </si>
  <si>
    <t xml:space="preserve">ammgio@libero.it</t>
  </si>
  <si>
    <t xml:space="preserve">De Marchi</t>
  </si>
  <si>
    <t xml:space="preserve">micheledm221@gmail.com</t>
  </si>
  <si>
    <t xml:space="preserve">Jean-Eric</t>
  </si>
  <si>
    <t xml:space="preserve">KIES</t>
  </si>
  <si>
    <t xml:space="preserve">3,93445E+11</t>
  </si>
  <si>
    <t xml:space="preserve">jeanerickies@gmail.com</t>
  </si>
  <si>
    <t xml:space="preserve">Michela</t>
  </si>
  <si>
    <t xml:space="preserve">Pizzamiglio</t>
  </si>
  <si>
    <t xml:space="preserve">3,93932E+11</t>
  </si>
  <si>
    <t xml:space="preserve">mikelap1970@gmail.com</t>
  </si>
  <si>
    <t xml:space="preserve">sergio.claudio.sail@gmail.com</t>
  </si>
  <si>
    <t xml:space="preserve">Giuseppe</t>
  </si>
  <si>
    <t xml:space="preserve">Pitisci</t>
  </si>
  <si>
    <t xml:space="preserve">giuseppe_pitisci@libero.it</t>
  </si>
  <si>
    <t xml:space="preserve">Lenoci</t>
  </si>
  <si>
    <t xml:space="preserve">3,93929E+11</t>
  </si>
  <si>
    <t xml:space="preserve">lucalenoci1973@gmail.com</t>
  </si>
  <si>
    <t xml:space="preserve">Maria</t>
  </si>
  <si>
    <t xml:space="preserve">Bacchilega</t>
  </si>
  <si>
    <t xml:space="preserve">taty.bacchi54@gmail.com</t>
  </si>
  <si>
    <t xml:space="preserve">guido</t>
  </si>
  <si>
    <t xml:space="preserve">ghiringhelli</t>
  </si>
  <si>
    <t xml:space="preserve">39019692671</t>
  </si>
  <si>
    <t xml:space="preserve">info@albinochiesa.it</t>
  </si>
  <si>
    <t xml:space="preserve">Fabio</t>
  </si>
  <si>
    <t xml:space="preserve">Miragliuolo</t>
  </si>
  <si>
    <t xml:space="preserve">3,93518E+11</t>
  </si>
  <si>
    <t xml:space="preserve">fabio.miragliuolo99@gmail.com</t>
  </si>
  <si>
    <t xml:space="preserve">lupi</t>
  </si>
  <si>
    <t xml:space="preserve">3,93381E+11</t>
  </si>
  <si>
    <t xml:space="preserve">lupilaura56@gmail.com</t>
  </si>
  <si>
    <t xml:space="preserve">Pesce</t>
  </si>
  <si>
    <t xml:space="preserve">3,9339E+11</t>
  </si>
  <si>
    <t xml:space="preserve">martriora@gmail.com</t>
  </si>
  <si>
    <t xml:space="preserve">Alex</t>
  </si>
  <si>
    <t xml:space="preserve">Caviglia</t>
  </si>
  <si>
    <t xml:space="preserve">3,93319E+11</t>
  </si>
  <si>
    <t xml:space="preserve">fillyaxelcavi@gmail.com</t>
  </si>
  <si>
    <t xml:space="preserve">Arianna</t>
  </si>
  <si>
    <t xml:space="preserve">Bruzzone</t>
  </si>
  <si>
    <t xml:space="preserve">arybru91@gmail.com</t>
  </si>
  <si>
    <t xml:space="preserve">antonio</t>
  </si>
  <si>
    <t xml:space="preserve">amura</t>
  </si>
  <si>
    <t xml:space="preserve">3901995902</t>
  </si>
  <si>
    <t xml:space="preserve">contabilita@leroi.it</t>
  </si>
  <si>
    <t xml:space="preserve">murielle</t>
  </si>
  <si>
    <t xml:space="preserve">scarpa</t>
  </si>
  <si>
    <t xml:space="preserve">venezie@libero.it</t>
  </si>
  <si>
    <t xml:space="preserve">Paoletti</t>
  </si>
  <si>
    <t xml:space="preserve">k.paoletti@libero.it</t>
  </si>
  <si>
    <t xml:space="preserve">Simone</t>
  </si>
  <si>
    <t xml:space="preserve">Oliveri</t>
  </si>
  <si>
    <t xml:space="preserve">3,93462E+11</t>
  </si>
  <si>
    <t xml:space="preserve">simone.oliveri@yahoo.it</t>
  </si>
  <si>
    <t xml:space="preserve">Rodolfo</t>
  </si>
  <si>
    <t xml:space="preserve">Gazzano</t>
  </si>
  <si>
    <t xml:space="preserve">3,9345E+11</t>
  </si>
  <si>
    <t xml:space="preserve">ite.gazzano@gmail.com</t>
  </si>
  <si>
    <t xml:space="preserve">Flavio</t>
  </si>
  <si>
    <t xml:space="preserve">Grappiolo</t>
  </si>
  <si>
    <t xml:space="preserve">3,93397E+11</t>
  </si>
  <si>
    <t xml:space="preserve">grappiolo.flavio@gmail.com</t>
  </si>
  <si>
    <t xml:space="preserve">GIANLUCA</t>
  </si>
  <si>
    <t xml:space="preserve">MARCHETTI</t>
  </si>
  <si>
    <t xml:space="preserve">3,90758E+11</t>
  </si>
  <si>
    <t xml:space="preserve">magazzino@cmbservicesrl.it</t>
  </si>
  <si>
    <t xml:space="preserve">alessandro</t>
  </si>
  <si>
    <t xml:space="preserve">nicelli</t>
  </si>
  <si>
    <t xml:space="preserve">3,93335E+11</t>
  </si>
  <si>
    <t xml:space="preserve">aleanna50@yahoo.it</t>
  </si>
  <si>
    <t xml:space="preserve">Gokhan Eller</t>
  </si>
  <si>
    <t xml:space="preserve">Il Bosforo srl</t>
  </si>
  <si>
    <t xml:space="preserve">3,93898E+11</t>
  </si>
  <si>
    <t xml:space="preserve">segreteria@ilbosforo.com</t>
  </si>
  <si>
    <t xml:space="preserve">3,93934E+11</t>
  </si>
  <si>
    <t xml:space="preserve">monycagatty.mg@gmail.com</t>
  </si>
  <si>
    <t xml:space="preserve">Giorgio</t>
  </si>
  <si>
    <t xml:space="preserve">Cutugno</t>
  </si>
  <si>
    <t xml:space="preserve">3,93483E+11</t>
  </si>
  <si>
    <t xml:space="preserve">sersider@gmail.com</t>
  </si>
  <si>
    <t xml:space="preserve">MARCO</t>
  </si>
  <si>
    <t xml:space="preserve">CALCAGNO</t>
  </si>
  <si>
    <t xml:space="preserve">marcocalcagno@hotmail.it</t>
  </si>
  <si>
    <t xml:space="preserve">Toledo</t>
  </si>
  <si>
    <t xml:space="preserve">3,93519E+11</t>
  </si>
  <si>
    <t xml:space="preserve">adriana.toledo.sanz@gmail.com</t>
  </si>
  <si>
    <t xml:space="preserve">Fabio Domenico</t>
  </si>
  <si>
    <t xml:space="preserve">Gaia</t>
  </si>
  <si>
    <t xml:space="preserve">fabiogaia93@gmail.com</t>
  </si>
  <si>
    <t xml:space="preserve">Guido</t>
  </si>
  <si>
    <t xml:space="preserve">Schlösser</t>
  </si>
  <si>
    <t xml:space="preserve">3,93246E+11</t>
  </si>
  <si>
    <t xml:space="preserve">guidoschlosser@pm.me</t>
  </si>
  <si>
    <t xml:space="preserve">Clerico</t>
  </si>
  <si>
    <t xml:space="preserve">3,9341E+11</t>
  </si>
  <si>
    <t xml:space="preserve">adriana.gmo@libero.it</t>
  </si>
  <si>
    <t xml:space="preserve">brusati</t>
  </si>
  <si>
    <t xml:space="preserve">zoodesign1@gmail.com</t>
  </si>
  <si>
    <t xml:space="preserve">Rossello</t>
  </si>
  <si>
    <t xml:space="preserve">lucarossello1961@gmail.com</t>
  </si>
  <si>
    <t xml:space="preserve">Talita</t>
  </si>
  <si>
    <t xml:space="preserve">Maris</t>
  </si>
  <si>
    <t xml:space="preserve">3,93334E+11</t>
  </si>
  <si>
    <t xml:space="preserve">talitamaree@gmail.com</t>
  </si>
  <si>
    <t xml:space="preserve">Birgit</t>
  </si>
  <si>
    <t xml:space="preserve">Lobbene</t>
  </si>
  <si>
    <t xml:space="preserve">blobbene@gmail.com</t>
  </si>
  <si>
    <t xml:space="preserve">Dolfini</t>
  </si>
  <si>
    <t xml:space="preserve">33643919891</t>
  </si>
  <si>
    <t xml:space="preserve">dolfinigabriele@gmail.com</t>
  </si>
  <si>
    <t xml:space="preserve">Mapelli</t>
  </si>
  <si>
    <t xml:space="preserve">3,93496E+11</t>
  </si>
  <si>
    <t xml:space="preserve">maxmapelli79@gmail.com</t>
  </si>
  <si>
    <t xml:space="preserve">giovanni</t>
  </si>
  <si>
    <t xml:space="preserve">RUFFA</t>
  </si>
  <si>
    <t xml:space="preserve">info@johnnymotor.it</t>
  </si>
  <si>
    <t xml:space="preserve">sandro</t>
  </si>
  <si>
    <t xml:space="preserve">Polini</t>
  </si>
  <si>
    <t xml:space="preserve">3,93664E+11</t>
  </si>
  <si>
    <t xml:space="preserve">sandro.po@gmail.com</t>
  </si>
  <si>
    <t xml:space="preserve">STEFANO</t>
  </si>
  <si>
    <t xml:space="preserve">STIFANESE</t>
  </si>
  <si>
    <t xml:space="preserve">3,93461E+11</t>
  </si>
  <si>
    <t xml:space="preserve">essegrafica09@libero.it</t>
  </si>
  <si>
    <t xml:space="preserve">PAOLO</t>
  </si>
  <si>
    <t xml:space="preserve">TARONI</t>
  </si>
  <si>
    <t xml:space="preserve">3,93292E+11</t>
  </si>
  <si>
    <t xml:space="preserve">ingptaroni@alice.it</t>
  </si>
  <si>
    <t xml:space="preserve">Gardini</t>
  </si>
  <si>
    <t xml:space="preserve">3,93423E+11</t>
  </si>
  <si>
    <t xml:space="preserve">marcogardini@msn.com</t>
  </si>
  <si>
    <t xml:space="preserve">Davide</t>
  </si>
  <si>
    <t xml:space="preserve">Geloso</t>
  </si>
  <si>
    <t xml:space="preserve">3,93515E+11</t>
  </si>
  <si>
    <t xml:space="preserve">davidegeloso1993@hotmail.com</t>
  </si>
  <si>
    <t xml:space="preserve">Siri</t>
  </si>
  <si>
    <t xml:space="preserve">GIANCARLO</t>
  </si>
  <si>
    <t xml:space="preserve">giancarlosiri@gmail.com</t>
  </si>
  <si>
    <t xml:space="preserve">Moncalieri</t>
  </si>
  <si>
    <t xml:space="preserve">39335202880</t>
  </si>
  <si>
    <t xml:space="preserve">info@impresamoncalieri.it</t>
  </si>
  <si>
    <t xml:space="preserve">Rossoni</t>
  </si>
  <si>
    <t xml:space="preserve">3,93944E+11</t>
  </si>
  <si>
    <t xml:space="preserve">erossoni-notter@gouv.mc</t>
  </si>
  <si>
    <t xml:space="preserve">Casalini</t>
  </si>
  <si>
    <t xml:space="preserve">claudio.casa.sv@gmail.com</t>
  </si>
  <si>
    <t xml:space="preserve">IVAN</t>
  </si>
  <si>
    <t xml:space="preserve">METE</t>
  </si>
  <si>
    <t xml:space="preserve">3,93465E+11</t>
  </si>
  <si>
    <t xml:space="preserve">info.micostruzione@libero.it</t>
  </si>
  <si>
    <t xml:space="preserve">Amos</t>
  </si>
  <si>
    <t xml:space="preserve">Sandri</t>
  </si>
  <si>
    <t xml:space="preserve">geometrasandriamos@gmail.com</t>
  </si>
  <si>
    <t xml:space="preserve">peogates@alice.it</t>
  </si>
  <si>
    <t xml:space="preserve">VINCENZO</t>
  </si>
  <si>
    <t xml:space="preserve">MARSAGLIA</t>
  </si>
  <si>
    <t xml:space="preserve">vincenzo.marsaglia@fibrafil.it</t>
  </si>
  <si>
    <t xml:space="preserve">ufficioacquisti@campodelvescovo.it</t>
  </si>
  <si>
    <t xml:space="preserve">Lorenzo</t>
  </si>
  <si>
    <t xml:space="preserve">D'Angelo</t>
  </si>
  <si>
    <t xml:space="preserve">lorenzodangelo82@gmail.com</t>
  </si>
  <si>
    <t xml:space="preserve">Berruto</t>
  </si>
  <si>
    <t xml:space="preserve">3,93317E+11</t>
  </si>
  <si>
    <t xml:space="preserve">franiaf@yahoo.it</t>
  </si>
  <si>
    <t xml:space="preserve">Truffelli</t>
  </si>
  <si>
    <t xml:space="preserve">ftruffelli@hotmail.com</t>
  </si>
  <si>
    <t xml:space="preserve">Olivieri</t>
  </si>
  <si>
    <t xml:space="preserve">mimmo699073@gmail.com</t>
  </si>
  <si>
    <t xml:space="preserve">Calamari</t>
  </si>
  <si>
    <t xml:space="preserve">riccardo.calamari@sitav.eu</t>
  </si>
  <si>
    <t xml:space="preserve">Sito 2021-2024</t>
  </si>
  <si>
    <t xml:space="preserve">Walter</t>
  </si>
  <si>
    <t xml:space="preserve">Tropeano</t>
  </si>
  <si>
    <t xml:space="preserve">3,93883E+11</t>
  </si>
  <si>
    <t xml:space="preserve">walterpittura@gmail.com</t>
  </si>
  <si>
    <t xml:space="preserve">Errico</t>
  </si>
  <si>
    <t xml:space="preserve">annabenebea@gmail.com</t>
  </si>
  <si>
    <t xml:space="preserve">Veronica</t>
  </si>
  <si>
    <t xml:space="preserve">Pagano</t>
  </si>
  <si>
    <t xml:space="preserve">veronicapagano89@yahoo.it</t>
  </si>
  <si>
    <t xml:space="preserve">Kai</t>
  </si>
  <si>
    <t xml:space="preserve">Schupp</t>
  </si>
  <si>
    <t xml:space="preserve">39126522389</t>
  </si>
  <si>
    <t xml:space="preserve">kaisen@riseup.net</t>
  </si>
  <si>
    <t xml:space="preserve">info@albinochesa.it</t>
  </si>
  <si>
    <t xml:space="preserve">ROBERTO</t>
  </si>
  <si>
    <t xml:space="preserve">DENEGRI</t>
  </si>
  <si>
    <t xml:space="preserve">rdenegri1978@gmail.com</t>
  </si>
  <si>
    <t xml:space="preserve">Jacopo</t>
  </si>
  <si>
    <t xml:space="preserve">Pieri</t>
  </si>
  <si>
    <t xml:space="preserve">j.pieri88@gmail.com</t>
  </si>
  <si>
    <t xml:space="preserve">Enrico</t>
  </si>
  <si>
    <t xml:space="preserve">Sozzi</t>
  </si>
  <si>
    <t xml:space="preserve">enrico_sozzi@libero.it</t>
  </si>
  <si>
    <t xml:space="preserve">Klajdi</t>
  </si>
  <si>
    <t xml:space="preserve">Tavarini</t>
  </si>
  <si>
    <t xml:space="preserve">3,93338E+11</t>
  </si>
  <si>
    <t xml:space="preserve">klajditavarini20@gmail.com</t>
  </si>
  <si>
    <t xml:space="preserve">Bilotta</t>
  </si>
  <si>
    <t xml:space="preserve">3,9329E+11</t>
  </si>
  <si>
    <t xml:space="preserve">enribil@gmail.com</t>
  </si>
  <si>
    <t xml:space="preserve">3,93667E+11</t>
  </si>
  <si>
    <t xml:space="preserve">heraclio.marco@gmail.comh</t>
  </si>
  <si>
    <t xml:space="preserve">michele</t>
  </si>
  <si>
    <t xml:space="preserve">zunino</t>
  </si>
  <si>
    <t xml:space="preserve">3,93534E+11</t>
  </si>
  <si>
    <t xml:space="preserve">michelezunino@gmail.com</t>
  </si>
  <si>
    <t xml:space="preserve">Fazio</t>
  </si>
  <si>
    <t xml:space="preserve">3,93484E+11</t>
  </si>
  <si>
    <t xml:space="preserve">g.fazio@alice.it</t>
  </si>
  <si>
    <t xml:space="preserve">raffaele</t>
  </si>
  <si>
    <t xml:space="preserve">caratozzolo</t>
  </si>
  <si>
    <t xml:space="preserve">raffaele@caratozzolo.it</t>
  </si>
  <si>
    <t xml:space="preserve">Florian</t>
  </si>
  <si>
    <t xml:space="preserve">TABBONE</t>
  </si>
  <si>
    <t xml:space="preserve">33678833854</t>
  </si>
  <si>
    <t xml:space="preserve">florian.tabbone@live.fr</t>
  </si>
  <si>
    <t xml:space="preserve">Prestigiacomo</t>
  </si>
  <si>
    <t xml:space="preserve">3,93314E+11</t>
  </si>
  <si>
    <t xml:space="preserve">alessandro.omnia@gmail.com</t>
  </si>
  <si>
    <t xml:space="preserve">CARLA</t>
  </si>
  <si>
    <t xml:space="preserve">TRAVERSA</t>
  </si>
  <si>
    <t xml:space="preserve">carla.traversa58@gmail.com</t>
  </si>
  <si>
    <t xml:space="preserve">Montagnese</t>
  </si>
  <si>
    <t xml:space="preserve">roberto.behappink@tiscali.it</t>
  </si>
  <si>
    <t xml:space="preserve">Senni</t>
  </si>
  <si>
    <t xml:space="preserve">3,93293E+11</t>
  </si>
  <si>
    <t xml:space="preserve">alex.senni05@gmail.com</t>
  </si>
  <si>
    <t xml:space="preserve">masteravionix@gmail.com</t>
  </si>
  <si>
    <t xml:space="preserve">Gianluigi</t>
  </si>
  <si>
    <t xml:space="preserve">Coreggia</t>
  </si>
  <si>
    <t xml:space="preserve">3,93666E+11</t>
  </si>
  <si>
    <t xml:space="preserve">gianluigi.coreggia@fastwebnet.it</t>
  </si>
  <si>
    <t xml:space="preserve">Valerio coreggia</t>
  </si>
  <si>
    <t xml:space="preserve">3,93276E+11</t>
  </si>
  <si>
    <t xml:space="preserve">vcoreggia@gmail.com</t>
  </si>
  <si>
    <t xml:space="preserve">Porchi</t>
  </si>
  <si>
    <t xml:space="preserve">marcello.porchi@tin.it</t>
  </si>
  <si>
    <t xml:space="preserve">Capra</t>
  </si>
  <si>
    <t xml:space="preserve">3,93336E+11</t>
  </si>
  <si>
    <t xml:space="preserve">resfinale@gmail.com</t>
  </si>
  <si>
    <t xml:space="preserve">francesco</t>
  </si>
  <si>
    <t xml:space="preserve">canepa</t>
  </si>
  <si>
    <t xml:space="preserve">3,93312E+11</t>
  </si>
  <si>
    <t xml:space="preserve">cnp.homesolution@gmail.com</t>
  </si>
  <si>
    <t xml:space="preserve">Silvia</t>
  </si>
  <si>
    <t xml:space="preserve">Bone</t>
  </si>
  <si>
    <t xml:space="preserve">recagnosilvia@gmail.com</t>
  </si>
  <si>
    <t xml:space="preserve">Eleonora</t>
  </si>
  <si>
    <t xml:space="preserve">Lavagna</t>
  </si>
  <si>
    <t xml:space="preserve">ele59.mountain@live.it</t>
  </si>
  <si>
    <t xml:space="preserve">MARIANNA</t>
  </si>
  <si>
    <t xml:space="preserve">URSINO</t>
  </si>
  <si>
    <t xml:space="preserve">veronica@metalvetrine.com</t>
  </si>
  <si>
    <t xml:space="preserve">LUANA</t>
  </si>
  <si>
    <t xml:space="preserve">SASSU</t>
  </si>
  <si>
    <t xml:space="preserve">3,93473E+11</t>
  </si>
  <si>
    <t xml:space="preserve">luanasassu.ls@gmail.com</t>
  </si>
  <si>
    <t xml:space="preserve">Manuela</t>
  </si>
  <si>
    <t xml:space="preserve">Pellegrini</t>
  </si>
  <si>
    <t xml:space="preserve">3,93489E+11</t>
  </si>
  <si>
    <t xml:space="preserve">ela23_2@libero.it</t>
  </si>
  <si>
    <t xml:space="preserve">Maiga</t>
  </si>
  <si>
    <t xml:space="preserve">3,93488E+11</t>
  </si>
  <si>
    <t xml:space="preserve">sergio.maiga@gmail.com</t>
  </si>
  <si>
    <t xml:space="preserve">Vinai</t>
  </si>
  <si>
    <t xml:space="preserve">3,93358E+11</t>
  </si>
  <si>
    <t xml:space="preserve">stefania.vinai@vinairenato.it</t>
  </si>
  <si>
    <t xml:space="preserve">Montechiaro</t>
  </si>
  <si>
    <t xml:space="preserve">d.montechiaro@syntechsrlsb.it</t>
  </si>
  <si>
    <t xml:space="preserve">Testi</t>
  </si>
  <si>
    <t xml:space="preserve">laboratorio@farmaciasaettone.it</t>
  </si>
  <si>
    <t xml:space="preserve">Loredana</t>
  </si>
  <si>
    <t xml:space="preserve">Giaina</t>
  </si>
  <si>
    <t xml:space="preserve">46723131969</t>
  </si>
  <si>
    <t xml:space="preserve">loredana690@gmail.com</t>
  </si>
  <si>
    <t xml:space="preserve">Pressenda</t>
  </si>
  <si>
    <t xml:space="preserve">maxident56@gmail.com</t>
  </si>
  <si>
    <t xml:space="preserve">vinotti</t>
  </si>
  <si>
    <t xml:space="preserve">39335211919</t>
  </si>
  <si>
    <t xml:space="preserve">vinotti@attglobal.net</t>
  </si>
  <si>
    <t xml:space="preserve">Pierani</t>
  </si>
  <si>
    <t xml:space="preserve">baci.kri@hotmail.it</t>
  </si>
  <si>
    <t xml:space="preserve">marta</t>
  </si>
  <si>
    <t xml:space="preserve">ghiglione</t>
  </si>
  <si>
    <t xml:space="preserve">3,90188E+11</t>
  </si>
  <si>
    <t xml:space="preserve">cams@camssp.it</t>
  </si>
  <si>
    <t xml:space="preserve">cristina</t>
  </si>
  <si>
    <t xml:space="preserve">barbera</t>
  </si>
  <si>
    <t xml:space="preserve">cristinabarbera67@gmail.com</t>
  </si>
  <si>
    <t xml:space="preserve">Ganguzza</t>
  </si>
  <si>
    <t xml:space="preserve">gangu2466@gmail.com</t>
  </si>
  <si>
    <t xml:space="preserve">Cooperativa</t>
  </si>
  <si>
    <t xml:space="preserve">Goccia</t>
  </si>
  <si>
    <t xml:space="preserve">3,93939E+11</t>
  </si>
  <si>
    <t xml:space="preserve">segreteria@cooperativagoccia.it</t>
  </si>
  <si>
    <t xml:space="preserve">Elisa</t>
  </si>
  <si>
    <t xml:space="preserve">Condini</t>
  </si>
  <si>
    <t xml:space="preserve">3,93284E+11</t>
  </si>
  <si>
    <t xml:space="preserve">elisa.cindjni@gmail.com</t>
  </si>
  <si>
    <t xml:space="preserve">elisa.condini@gmail.com</t>
  </si>
  <si>
    <t xml:space="preserve">Pievi</t>
  </si>
  <si>
    <t xml:space="preserve">3,93914E+11</t>
  </si>
  <si>
    <t xml:space="preserve">pievi.manuela@gmail.com</t>
  </si>
  <si>
    <t xml:space="preserve">Anastasia</t>
  </si>
  <si>
    <t xml:space="preserve">3,93392E+11</t>
  </si>
  <si>
    <t xml:space="preserve">luca@studio-anastasia.it</t>
  </si>
  <si>
    <t xml:space="preserve">Angelo</t>
  </si>
  <si>
    <t xml:space="preserve">Curto</t>
  </si>
  <si>
    <t xml:space="preserve">angelocurto@impresacurto.it</t>
  </si>
  <si>
    <t xml:space="preserve">ammiratigiorgio@gmail.com</t>
  </si>
  <si>
    <t xml:space="preserve">maurizio</t>
  </si>
  <si>
    <t xml:space="preserve">pizzamiglio</t>
  </si>
  <si>
    <t xml:space="preserve">m.pizzamiglio@riviera-airport.it</t>
  </si>
  <si>
    <t xml:space="preserve">FOGLIATTO</t>
  </si>
  <si>
    <t xml:space="preserve">antonella.fogliatto@gmail.com</t>
  </si>
  <si>
    <t xml:space="preserve">Nizzola</t>
  </si>
  <si>
    <t xml:space="preserve">alemoro.alemoro@virgilio.it</t>
  </si>
  <si>
    <t xml:space="preserve">Daniela</t>
  </si>
  <si>
    <t xml:space="preserve">de Bartolo</t>
  </si>
  <si>
    <t xml:space="preserve">danielac.debartolo@gmail.com</t>
  </si>
  <si>
    <t xml:space="preserve">Giribaldi</t>
  </si>
  <si>
    <t xml:space="preserve">giribaldiantonio730@gmail.com</t>
  </si>
  <si>
    <t xml:space="preserve">Romualdo</t>
  </si>
  <si>
    <t xml:space="preserve">Bolognini</t>
  </si>
  <si>
    <t xml:space="preserve">lalo.bolognini@alice.it</t>
  </si>
  <si>
    <t xml:space="preserve">Cardone</t>
  </si>
  <si>
    <t xml:space="preserve">da.mama.toirano@gmail.com</t>
  </si>
  <si>
    <t xml:space="preserve">afrim</t>
  </si>
  <si>
    <t xml:space="preserve">sulkja</t>
  </si>
  <si>
    <t xml:space="preserve">lumi.sulkja@hotmail.it</t>
  </si>
  <si>
    <t xml:space="preserve">diego</t>
  </si>
  <si>
    <t xml:space="preserve">marrella</t>
  </si>
  <si>
    <t xml:space="preserve">3,93408E+11</t>
  </si>
  <si>
    <t xml:space="preserve">info@millenniumbike.it</t>
  </si>
  <si>
    <t xml:space="preserve">Edmondo</t>
  </si>
  <si>
    <t xml:space="preserve">Occhipinti</t>
  </si>
  <si>
    <t xml:space="preserve">edmondocchipinti@yahoo.it</t>
  </si>
  <si>
    <t xml:space="preserve">Mauro</t>
  </si>
  <si>
    <t xml:space="preserve">3,93453E+11</t>
  </si>
  <si>
    <t xml:space="preserve">francesco.mauro@gruppobadano.com</t>
  </si>
  <si>
    <t xml:space="preserve">Biglia</t>
  </si>
  <si>
    <t xml:space="preserve">3,9321E+11</t>
  </si>
  <si>
    <t xml:space="preserve">laurapedemonte77@gmail.com</t>
  </si>
  <si>
    <t xml:space="preserve">D'Anna</t>
  </si>
  <si>
    <t xml:space="preserve">3,93333E+11</t>
  </si>
  <si>
    <t xml:space="preserve">paolo.danna@libero.it</t>
  </si>
  <si>
    <t xml:space="preserve">Pavarini</t>
  </si>
  <si>
    <t xml:space="preserve">3,93475E+11</t>
  </si>
  <si>
    <t xml:space="preserve">pavarini@extragiro.it</t>
  </si>
  <si>
    <t xml:space="preserve">Patanè</t>
  </si>
  <si>
    <t xml:space="preserve">ale.patane@icloud.com</t>
  </si>
  <si>
    <t xml:space="preserve">Ceruti</t>
  </si>
  <si>
    <t xml:space="preserve">390</t>
  </si>
  <si>
    <t xml:space="preserve">robertoceruti72@gmail.com</t>
  </si>
  <si>
    <t xml:space="preserve">Riggi</t>
  </si>
  <si>
    <t xml:space="preserve">raven27@hotmail.it</t>
  </si>
  <si>
    <t xml:space="preserve">Valentina</t>
  </si>
  <si>
    <t xml:space="preserve">Costa</t>
  </si>
  <si>
    <t xml:space="preserve">valentina.costa@italiaonlinesc.it</t>
  </si>
  <si>
    <t xml:space="preserve">Leonardo</t>
  </si>
  <si>
    <t xml:space="preserve">Ottieri</t>
  </si>
  <si>
    <t xml:space="preserve">impresaottieri@gmail.com</t>
  </si>
  <si>
    <t xml:space="preserve">Granaiola</t>
  </si>
  <si>
    <t xml:space="preserve">elena@eurocampingcalvisio.it</t>
  </si>
  <si>
    <t xml:space="preserve">Bach</t>
  </si>
  <si>
    <t xml:space="preserve">valentina.bach@uwcad.it</t>
  </si>
  <si>
    <t xml:space="preserve">Gianfranco</t>
  </si>
  <si>
    <t xml:space="preserve">Roella</t>
  </si>
  <si>
    <t xml:space="preserve">info@casavaldese.it</t>
  </si>
  <si>
    <t xml:space="preserve">Foto Gibelli</t>
  </si>
  <si>
    <t xml:space="preserve">Volpi</t>
  </si>
  <si>
    <t xml:space="preserve">fotogibelli@gmail.com</t>
  </si>
  <si>
    <t xml:space="preserve">Zannoli</t>
  </si>
  <si>
    <t xml:space="preserve">andrea.zannoli@gmail.com</t>
  </si>
  <si>
    <t xml:space="preserve">Giancarlo</t>
  </si>
  <si>
    <t xml:space="preserve">Rivetti</t>
  </si>
  <si>
    <t xml:space="preserve">acovasco@yahoo.it</t>
  </si>
  <si>
    <t xml:space="preserve">silvana</t>
  </si>
  <si>
    <t xml:space="preserve">santamaria</t>
  </si>
  <si>
    <t xml:space="preserve">info@nattadimontetabor.it</t>
  </si>
  <si>
    <t xml:space="preserve">Christian</t>
  </si>
  <si>
    <t xml:space="preserve">Lacqua</t>
  </si>
  <si>
    <t xml:space="preserve">chrilacq@libero.it</t>
  </si>
  <si>
    <t xml:space="preserve">El Nouriey</t>
  </si>
  <si>
    <t xml:space="preserve">elnouriey82@gmail.com</t>
  </si>
  <si>
    <t xml:space="preserve">Wael</t>
  </si>
  <si>
    <t xml:space="preserve">Hassan</t>
  </si>
  <si>
    <t xml:space="preserve">3,93711E+11</t>
  </si>
  <si>
    <t xml:space="preserve">waelhassan1985@yahoo.com</t>
  </si>
  <si>
    <t xml:space="preserve">Circiello lauro</t>
  </si>
  <si>
    <t xml:space="preserve">info@albergoilfaro.it</t>
  </si>
  <si>
    <t xml:space="preserve">Dirk</t>
  </si>
  <si>
    <t xml:space="preserve">Peleman</t>
  </si>
  <si>
    <t xml:space="preserve">32485838616</t>
  </si>
  <si>
    <t xml:space="preserve">leen.veldeman25@gmail.com</t>
  </si>
  <si>
    <t xml:space="preserve">Bersi</t>
  </si>
  <si>
    <t xml:space="preserve">fabio281@iol.it</t>
  </si>
  <si>
    <t xml:space="preserve">Sanlorenzo</t>
  </si>
  <si>
    <t xml:space="preserve">g.sanlorenzo@alice.it</t>
  </si>
  <si>
    <t xml:space="preserve">Stefano</t>
  </si>
  <si>
    <t xml:space="preserve">Di Cianni</t>
  </si>
  <si>
    <t xml:space="preserve">essedici@gmail.com</t>
  </si>
  <si>
    <t xml:space="preserve">ENRICO</t>
  </si>
  <si>
    <t xml:space="preserve">SELVINI</t>
  </si>
  <si>
    <t xml:space="preserve">3,93701E+11</t>
  </si>
  <si>
    <t xml:space="preserve">selvini.home@hotmail.it</t>
  </si>
  <si>
    <t xml:space="preserve">GIUSEPPE</t>
  </si>
  <si>
    <t xml:space="preserve">BANDIERA</t>
  </si>
  <si>
    <t xml:space="preserve">3,93882E+11</t>
  </si>
  <si>
    <t xml:space="preserve">edilyoung20@gmail.com</t>
  </si>
  <si>
    <t xml:space="preserve">Yso Società Cooperativa</t>
  </si>
  <si>
    <t xml:space="preserve">3,90195E+11</t>
  </si>
  <si>
    <t xml:space="preserve">yso.cooperativa@gmail.com</t>
  </si>
  <si>
    <t xml:space="preserve">patrizia</t>
  </si>
  <si>
    <t xml:space="preserve">pennizzotto</t>
  </si>
  <si>
    <t xml:space="preserve">3,93387E+11</t>
  </si>
  <si>
    <t xml:space="preserve">pennizzotto.patrizia@colaval.it</t>
  </si>
  <si>
    <t xml:space="preserve">Bouyakoub</t>
  </si>
  <si>
    <t xml:space="preserve">Djamila</t>
  </si>
  <si>
    <t xml:space="preserve">buffoned@yahoo.fr</t>
  </si>
  <si>
    <t xml:space="preserve">Assenza</t>
  </si>
  <si>
    <t xml:space="preserve">gioass@yahoo.it</t>
  </si>
  <si>
    <t xml:space="preserve">Emilio</t>
  </si>
  <si>
    <t xml:space="preserve">Sacchini</t>
  </si>
  <si>
    <t xml:space="preserve">3,93337E+11</t>
  </si>
  <si>
    <t xml:space="preserve">emilio.sacchini.2923@alice.it</t>
  </si>
  <si>
    <t xml:space="preserve">Asilo</t>
  </si>
  <si>
    <t xml:space="preserve">Infantile di FInalborgo</t>
  </si>
  <si>
    <t xml:space="preserve">3,93474E+11</t>
  </si>
  <si>
    <t xml:space="preserve">asilofinalborgo@gmail.com</t>
  </si>
  <si>
    <t xml:space="preserve">Dolores</t>
  </si>
  <si>
    <t xml:space="preserve">MORIANO</t>
  </si>
  <si>
    <t xml:space="preserve">m.dolores@coseva.coop</t>
  </si>
  <si>
    <t xml:space="preserve">Danio</t>
  </si>
  <si>
    <t xml:space="preserve">alessandrodanio87@gmail.com</t>
  </si>
  <si>
    <t xml:space="preserve">Luigi</t>
  </si>
  <si>
    <t xml:space="preserve">Vassallo</t>
  </si>
  <si>
    <t xml:space="preserve">3,93383E+11</t>
  </si>
  <si>
    <t xml:space="preserve">luigi_vassallo@libero.it</t>
  </si>
  <si>
    <t xml:space="preserve">NICOLA</t>
  </si>
  <si>
    <t xml:space="preserve">GHERSI</t>
  </si>
  <si>
    <t xml:space="preserve">cristina.nicola@alice.it</t>
  </si>
  <si>
    <t xml:space="preserve">francesca</t>
  </si>
  <si>
    <t xml:space="preserve">passalacqua</t>
  </si>
  <si>
    <t xml:space="preserve">info@langolodifrancesca.com</t>
  </si>
  <si>
    <t xml:space="preserve">MONICA</t>
  </si>
  <si>
    <t xml:space="preserve">SALUZZO</t>
  </si>
  <si>
    <t xml:space="preserve">3,93757E+11</t>
  </si>
  <si>
    <t xml:space="preserve">saluzzomonica@gmail.com</t>
  </si>
  <si>
    <t xml:space="preserve">ALESSANDRO</t>
  </si>
  <si>
    <t xml:space="preserve">FERRARO</t>
  </si>
  <si>
    <t xml:space="preserve">aferraro720@gmail.com</t>
  </si>
  <si>
    <t xml:space="preserve">Paola</t>
  </si>
  <si>
    <t xml:space="preserve">Tabò</t>
  </si>
  <si>
    <t xml:space="preserve">39014499116</t>
  </si>
  <si>
    <t xml:space="preserve">laghita@libero.it</t>
  </si>
  <si>
    <t xml:space="preserve">Gianluca</t>
  </si>
  <si>
    <t xml:space="preserve">Cirini</t>
  </si>
  <si>
    <t xml:space="preserve">gianlucacirini@libero.it</t>
  </si>
  <si>
    <t xml:space="preserve">Ludovic</t>
  </si>
  <si>
    <t xml:space="preserve">Se'echal</t>
  </si>
  <si>
    <t xml:space="preserve">33627097779</t>
  </si>
  <si>
    <t xml:space="preserve">senechalparfait@yahoo.com</t>
  </si>
  <si>
    <t xml:space="preserve">Savoia</t>
  </si>
  <si>
    <t xml:space="preserve">savoiamonica@gmail.com</t>
  </si>
  <si>
    <t xml:space="preserve">Noris</t>
  </si>
  <si>
    <t xml:space="preserve">3,93935E+11</t>
  </si>
  <si>
    <t xml:space="preserve">noris08@libero.it</t>
  </si>
  <si>
    <t xml:space="preserve">Quagliaroli</t>
  </si>
  <si>
    <t xml:space="preserve">3,93704E+11</t>
  </si>
  <si>
    <t xml:space="preserve">elena.quagliaroli@gmail.com</t>
  </si>
  <si>
    <t xml:space="preserve">Simona</t>
  </si>
  <si>
    <t xml:space="preserve">Carrella</t>
  </si>
  <si>
    <t xml:space="preserve">simona.carrella@gmail.com</t>
  </si>
  <si>
    <t xml:space="preserve">Ermia</t>
  </si>
  <si>
    <t xml:space="preserve">mermia@email.it</t>
  </si>
  <si>
    <t xml:space="preserve">Van velsen</t>
  </si>
  <si>
    <t xml:space="preserve">3,93493E+11</t>
  </si>
  <si>
    <t xml:space="preserve">alessandro.vanvelsen@gmail.com</t>
  </si>
  <si>
    <t xml:space="preserve">MARCELLO</t>
  </si>
  <si>
    <t xml:space="preserve">LUONGO</t>
  </si>
  <si>
    <t xml:space="preserve">info@climaserviceimperia.it</t>
  </si>
  <si>
    <t xml:space="preserve">Gian Paolo</t>
  </si>
  <si>
    <t xml:space="preserve">Porro</t>
  </si>
  <si>
    <t xml:space="preserve">gp.porro@hotmail.it</t>
  </si>
  <si>
    <t xml:space="preserve">Enzo</t>
  </si>
  <si>
    <t xml:space="preserve">Di cicco</t>
  </si>
  <si>
    <t xml:space="preserve">3,9328E+11</t>
  </si>
  <si>
    <t xml:space="preserve">vidici@libero.it</t>
  </si>
  <si>
    <t xml:space="preserve">sartore</t>
  </si>
  <si>
    <t xml:space="preserve">rsartore60@gmail.com</t>
  </si>
  <si>
    <t xml:space="preserve">Jessica</t>
  </si>
  <si>
    <t xml:space="preserve">Giordano</t>
  </si>
  <si>
    <t xml:space="preserve">3,90196E+13</t>
  </si>
  <si>
    <t xml:space="preserve">j.giordano@ciraservizioidrico.it</t>
  </si>
  <si>
    <t xml:space="preserve">Viassone</t>
  </si>
  <si>
    <t xml:space="preserve">39019741044</t>
  </si>
  <si>
    <t xml:space="preserve">info@grupporiviera.com</t>
  </si>
  <si>
    <t xml:space="preserve">Giulia</t>
  </si>
  <si>
    <t xml:space="preserve">giuliferr@hotmail.it</t>
  </si>
  <si>
    <t xml:space="preserve">bonati</t>
  </si>
  <si>
    <t xml:space="preserve">bonati.robertoamerigo@gmail.com</t>
  </si>
  <si>
    <t xml:space="preserve">DIEGO</t>
  </si>
  <si>
    <t xml:space="preserve">D'ALOIA</t>
  </si>
  <si>
    <t xml:space="preserve">diegodaloia@libero.it</t>
  </si>
  <si>
    <t xml:space="preserve">Gazzola</t>
  </si>
  <si>
    <t xml:space="preserve">3,93502E+11</t>
  </si>
  <si>
    <t xml:space="preserve">giulietta.gazzola97@gmail.com</t>
  </si>
  <si>
    <t xml:space="preserve">Messina</t>
  </si>
  <si>
    <t xml:space="preserve">3,93283E+11</t>
  </si>
  <si>
    <t xml:space="preserve">fabiomessina85@gmail.com</t>
  </si>
  <si>
    <t xml:space="preserve">Dispari</t>
  </si>
  <si>
    <t xml:space="preserve">giorgia.disp@libero.it</t>
  </si>
  <si>
    <t xml:space="preserve">LUCIANO</t>
  </si>
  <si>
    <t xml:space="preserve">SACCHERI</t>
  </si>
  <si>
    <t xml:space="preserve">luciano.saccheri@alice.it</t>
  </si>
  <si>
    <t xml:space="preserve">luigisimone1944@gmail.com</t>
  </si>
  <si>
    <t xml:space="preserve">stefania</t>
  </si>
  <si>
    <t xml:space="preserve">costamagna</t>
  </si>
  <si>
    <t xml:space="preserve">3,93332E+12</t>
  </si>
  <si>
    <t xml:space="preserve">stefania.costamagna@altamurastudiolegale.it</t>
  </si>
  <si>
    <t xml:space="preserve">Cantoni</t>
  </si>
  <si>
    <t xml:space="preserve">elena.cantoni@gmail.com</t>
  </si>
  <si>
    <t xml:space="preserve">Ivan</t>
  </si>
  <si>
    <t xml:space="preserve">Bufano</t>
  </si>
  <si>
    <t xml:space="preserve">bufanoivan82@gmail.com</t>
  </si>
  <si>
    <t xml:space="preserve">Cialdella</t>
  </si>
  <si>
    <t xml:space="preserve">decorazioni.maxdecor@gmail.com</t>
  </si>
  <si>
    <t xml:space="preserve">Bonsignorio</t>
  </si>
  <si>
    <t xml:space="preserve">bonsignorio.g@gmail.com</t>
  </si>
  <si>
    <t xml:space="preserve">Durim</t>
  </si>
  <si>
    <t xml:space="preserve">Huqi</t>
  </si>
  <si>
    <t xml:space="preserve">3,93278E+11</t>
  </si>
  <si>
    <t xml:space="preserve">ad.durim89@gmail.com</t>
  </si>
  <si>
    <t xml:space="preserve">anna</t>
  </si>
  <si>
    <t xml:space="preserve">cusati</t>
  </si>
  <si>
    <t xml:space="preserve">3901995488</t>
  </si>
  <si>
    <t xml:space="preserve">info@residencelavignetta.it</t>
  </si>
  <si>
    <t xml:space="preserve">Ricavi per servizio 2023-2025 (bilancio) e richieste 2026 (registro)</t>
  </si>
  <si>
    <t xml:space="preserve">Fonte: Bilancio comparato Servizi Ecologici 23-24-25, conti 58/05/xxx. Contatti 2026 = righe del Registro per area/servizio</t>
  </si>
  <si>
    <t xml:space="preserve">Voce di ricavo (bilancio)</t>
  </si>
  <si>
    <t xml:space="preserve">2023 €</t>
  </si>
  <si>
    <t xml:space="preserve">2024 €</t>
  </si>
  <si>
    <t xml:space="preserve">2025 €</t>
  </si>
  <si>
    <t xml:space="preserve">Var. 2025 su 2024</t>
  </si>
  <si>
    <t xml:space="preserve">Contatti 2026 nel registro (area)</t>
  </si>
  <si>
    <t xml:space="preserve">Disostruzione canaljet reti/fosse</t>
  </si>
  <si>
    <t xml:space="preserve">Ispezioni televisive</t>
  </si>
  <si>
    <t xml:space="preserve">Posizionamento e ritiro cassoni</t>
  </si>
  <si>
    <t xml:space="preserve">Smaltimento rifiuti liquidi</t>
  </si>
  <si>
    <t xml:space="preserve">Smaltimento rifiuti solidi</t>
  </si>
  <si>
    <t xml:space="preserve">Smaltimento inerti</t>
  </si>
  <si>
    <t xml:space="preserve">Analisi rifiuti solidi e liquidi</t>
  </si>
  <si>
    <t xml:space="preserve">Analisi, smaltimento e incapsulamento amianto</t>
  </si>
  <si>
    <t xml:space="preserve">Censimento amianto</t>
  </si>
  <si>
    <t xml:space="preserve">Analisi amianto</t>
  </si>
  <si>
    <t xml:space="preserve">Bonifiche ambientali</t>
  </si>
  <si>
    <t xml:space="preserve">Disinfestazioni e derattizzazioni</t>
  </si>
  <si>
    <t xml:space="preserve">Pulizia serbatoi</t>
  </si>
  <si>
    <t xml:space="preserve">Inertizzazione serbatoi</t>
  </si>
  <si>
    <t xml:space="preserve">Pulizia e manutenzione canne fumarie</t>
  </si>
  <si>
    <t xml:space="preserve">Pulizia facciate e graffiti</t>
  </si>
  <si>
    <t xml:space="preserve">Vendite diverse / altro</t>
  </si>
  <si>
    <t xml:space="preserve">TOTALE ricavi delle vendite (bilancio)</t>
  </si>
  <si>
    <t xml:space="preserve">Somma righe sopra (controllo)</t>
  </si>
  <si>
    <t xml:space="preserve">Utile d'esercizio</t>
  </si>
  <si>
    <t xml:space="preserve">Richieste 2026 per area (registro) vs ricavi 2025</t>
  </si>
  <si>
    <t xml:space="preserve">Ricavi 2025 € (voci sopra)</t>
  </si>
  <si>
    <t xml:space="preserve">Contatti 2026</t>
  </si>
  <si>
    <t xml:space="preserve">Registro contatti e lavori</t>
  </si>
  <si>
    <t xml:space="preserve">184 contatti caricati (168 dal registro chiamate 2026 + 16 PgCasa). Celle gialle da compilare: ESITO e MOTIVO servono per le statistiche</t>
  </si>
  <si>
    <t xml:space="preserve">Dettaglio fonte</t>
  </si>
  <si>
    <t xml:space="preserve">Cliente</t>
  </si>
  <si>
    <t xml:space="preserve">Telefono</t>
  </si>
  <si>
    <t xml:space="preserve">Comune</t>
  </si>
  <si>
    <t xml:space="preserve">Prov.</t>
  </si>
  <si>
    <t xml:space="preserve">Area servizio</t>
  </si>
  <si>
    <t xml:space="preserve">Servizio (dal foglio Servizi)</t>
  </si>
  <si>
    <t xml:space="preserve">Richiesta del cliente</t>
  </si>
  <si>
    <t xml:space="preserve">Esito</t>
  </si>
  <si>
    <t xml:space="preserve">Motivo (se NON PRESO)</t>
  </si>
  <si>
    <t xml:space="preserve">Importo preventivo €</t>
  </si>
  <si>
    <t xml:space="preserve">Importo lavoro fatto €</t>
  </si>
  <si>
    <t xml:space="preserve">Costo contatto €</t>
  </si>
  <si>
    <t xml:space="preserve">Commerciale (cod.)</t>
  </si>
  <si>
    <t xml:space="preserve">Zona pubblicità locale</t>
  </si>
  <si>
    <t xml:space="preserve">Richiesta preventivo PgCasa</t>
  </si>
  <si>
    <t xml:space="preserve">Alessandro F.</t>
  </si>
  <si>
    <t xml:space="preserve">3488121357</t>
  </si>
  <si>
    <t xml:space="preserve">Allontanamento piccioni/volatili</t>
  </si>
  <si>
    <t xml:space="preserve">DA RICONTATTARE</t>
  </si>
  <si>
    <t xml:space="preserve">esito da verificare</t>
  </si>
  <si>
    <t xml:space="preserve">Giancarlo R.</t>
  </si>
  <si>
    <t xml:space="preserve">3428016129</t>
  </si>
  <si>
    <t xml:space="preserve">Tovo San Giacomo</t>
  </si>
  <si>
    <t xml:space="preserve">Spurgo tubo acque bianche</t>
  </si>
  <si>
    <t xml:space="preserve">Andrea Z.</t>
  </si>
  <si>
    <t xml:space="preserve">3313761023</t>
  </si>
  <si>
    <t xml:space="preserve">Camporosso</t>
  </si>
  <si>
    <t xml:space="preserve">Spurgo fossa settica: Fossa settica casa indipendente ~6000 l</t>
  </si>
  <si>
    <t xml:space="preserve">Silvana S.</t>
  </si>
  <si>
    <t xml:space="preserve">3356698662</t>
  </si>
  <si>
    <t xml:space="preserve">Celle Ligure</t>
  </si>
  <si>
    <t xml:space="preserve">Derattizzazione</t>
  </si>
  <si>
    <t xml:space="preserve">Valentina B.</t>
  </si>
  <si>
    <t xml:space="preserve">3466961758</t>
  </si>
  <si>
    <t xml:space="preserve">Albisola Superiore</t>
  </si>
  <si>
    <t xml:space="preserve">Derattizzazione: Verifica e interventi senza veleno</t>
  </si>
  <si>
    <t xml:space="preserve">Tortarolo Guglielmo</t>
  </si>
  <si>
    <t xml:space="preserve">3663699474</t>
  </si>
  <si>
    <t xml:space="preserve">guglielmo@hotel-sanmichele.it</t>
  </si>
  <si>
    <t xml:space="preserve">Ispezione TV canne fumarie</t>
  </si>
  <si>
    <t xml:space="preserve">DA VERIFICARE</t>
  </si>
  <si>
    <t xml:space="preserve">Registro chiamate 2026 – motivo 'IT CANNE' – tipologia 'Attività' – esito da inserire</t>
  </si>
  <si>
    <t xml:space="preserve">Raffaele Corrado</t>
  </si>
  <si>
    <t xml:space="preserve">3470732628</t>
  </si>
  <si>
    <t xml:space="preserve">crrrfl93a20@gmail.com</t>
  </si>
  <si>
    <t xml:space="preserve">Finale Ligure</t>
  </si>
  <si>
    <t xml:space="preserve">Registro chiamate 2026 – motivo 'IT CANNE' – tipologia 'Privato' – esito da inserire</t>
  </si>
  <si>
    <t xml:space="preserve">Furlanetto Davide</t>
  </si>
  <si>
    <t xml:space="preserve">3397972961</t>
  </si>
  <si>
    <t xml:space="preserve">geom.davidefurla@libero.it</t>
  </si>
  <si>
    <t xml:space="preserve">Andora</t>
  </si>
  <si>
    <t xml:space="preserve">Amianto</t>
  </si>
  <si>
    <t xml:space="preserve">Registro chiamate 2026 – motivo 'AMIANTO' – tipologia 'Privato' – esito da inserire</t>
  </si>
  <si>
    <t xml:space="preserve">D'Aquino Mario</t>
  </si>
  <si>
    <t xml:space="preserve">3357352754</t>
  </si>
  <si>
    <t xml:space="preserve">bymario@libero.it</t>
  </si>
  <si>
    <t xml:space="preserve">Albisola Marina</t>
  </si>
  <si>
    <t xml:space="preserve">Nostro Sito</t>
  </si>
  <si>
    <t xml:space="preserve">Garzino Alberto</t>
  </si>
  <si>
    <t xml:space="preserve">3391218326</t>
  </si>
  <si>
    <t xml:space="preserve">alberto.garzino@virgilio.it</t>
  </si>
  <si>
    <t xml:space="preserve">Spotorno</t>
  </si>
  <si>
    <t xml:space="preserve">Rifiuti</t>
  </si>
  <si>
    <t xml:space="preserve">Registro chiamate 2026 – motivo 'RIFIUTI' – tipologia 'Imp. Edile' – esito da inserire</t>
  </si>
  <si>
    <t xml:space="preserve">Domenico Timpano</t>
  </si>
  <si>
    <t xml:space="preserve">3401426500</t>
  </si>
  <si>
    <t xml:space="preserve">domytim31@gmail.com</t>
  </si>
  <si>
    <t xml:space="preserve">Borgio Verezzi</t>
  </si>
  <si>
    <t xml:space="preserve">Registro chiamate 2026 – motivo 'RIFIUTI' – tipologia 'Privato' – esito da inserire</t>
  </si>
  <si>
    <t xml:space="preserve">Roberto Parodi</t>
  </si>
  <si>
    <t xml:space="preserve">3929973357</t>
  </si>
  <si>
    <t xml:space="preserve">info@studioparodi.org</t>
  </si>
  <si>
    <t xml:space="preserve">Savona</t>
  </si>
  <si>
    <t xml:space="preserve">Melina Alice</t>
  </si>
  <si>
    <t xml:space="preserve">3470865194</t>
  </si>
  <si>
    <t xml:space="preserve">alice.melina@tim.it</t>
  </si>
  <si>
    <t xml:space="preserve">Expertise Srl</t>
  </si>
  <si>
    <t xml:space="preserve">3498225725</t>
  </si>
  <si>
    <t xml:space="preserve">federica.alesiani@expertise.it</t>
  </si>
  <si>
    <t xml:space="preserve">Vado Ligure</t>
  </si>
  <si>
    <t xml:space="preserve">Sanificazione</t>
  </si>
  <si>
    <t xml:space="preserve">Registro chiamate 2026 – motivo 'SANIFICAZI' – tipologia 'Associazione' – esito da inserire</t>
  </si>
  <si>
    <t xml:space="preserve">Global Psa</t>
  </si>
  <si>
    <t xml:space="preserve">3315718808</t>
  </si>
  <si>
    <t xml:space="preserve">alessandra.raffaele@globalpsa.</t>
  </si>
  <si>
    <t xml:space="preserve">Pulizia (specificare: cisterne, facciate, cappe…)</t>
  </si>
  <si>
    <t xml:space="preserve">Registro chiamate 2026 – motivo 'PULIZ.' – tipologia 'Manutentore' – esito da inserire</t>
  </si>
  <si>
    <t xml:space="preserve">Cgg Spa</t>
  </si>
  <si>
    <t xml:space="preserve">3351835165</t>
  </si>
  <si>
    <t xml:space="preserve">zagarese@gilardi.it</t>
  </si>
  <si>
    <t xml:space="preserve">Bonifica</t>
  </si>
  <si>
    <t xml:space="preserve">Registro chiamate 2026 – motivo 'BONIFICA' – tipologia 'Imp. Edile' – esito da inserire</t>
  </si>
  <si>
    <t xml:space="preserve">Fantini Orazio</t>
  </si>
  <si>
    <t xml:space="preserve">3471172348</t>
  </si>
  <si>
    <t xml:space="preserve">oraziofan73@gmail.com</t>
  </si>
  <si>
    <t xml:space="preserve">Pietra Ligure</t>
  </si>
  <si>
    <t xml:space="preserve">Analisi (specificare: acque potabili o rifiuti)</t>
  </si>
  <si>
    <t xml:space="preserve">Registro chiamate 2026 – motivo 'ANALISI' – tipologia 'Privato' – esito da inserire</t>
  </si>
  <si>
    <t xml:space="preserve">La Giglio Eco Group</t>
  </si>
  <si>
    <t xml:space="preserve">055414559</t>
  </si>
  <si>
    <t xml:space="preserve">cantieri@giglioecogroup.it</t>
  </si>
  <si>
    <t xml:space="preserve">Registro chiamate 2026 – motivo 'AMIANTO' – tipologia 'Imp. Edile' – esito da inserire</t>
  </si>
  <si>
    <t xml:space="preserve">Selvaggi Valerio</t>
  </si>
  <si>
    <t xml:space="preserve">3402836170</t>
  </si>
  <si>
    <t xml:space="preserve">Cipressa</t>
  </si>
  <si>
    <t xml:space="preserve">Rossi Elide</t>
  </si>
  <si>
    <t xml:space="preserve">3280343380</t>
  </si>
  <si>
    <t xml:space="preserve">rossi_elide@yahoo.com</t>
  </si>
  <si>
    <t xml:space="preserve">Xxmiglia</t>
  </si>
  <si>
    <t xml:space="preserve">Fabio L.</t>
  </si>
  <si>
    <t xml:space="preserve">3911030392</t>
  </si>
  <si>
    <t xml:space="preserve">f.leanzi@gmail.com</t>
  </si>
  <si>
    <t xml:space="preserve">Perinaldo</t>
  </si>
  <si>
    <t xml:space="preserve">Svuotamento fossa biologica: Fossa ~2 mq, serve camion piccolo (accesso stretto)</t>
  </si>
  <si>
    <t xml:space="preserve">Risposto 01/02 (Contini) – esito da verificare</t>
  </si>
  <si>
    <t xml:space="preserve">Green System Srl</t>
  </si>
  <si>
    <t xml:space="preserve">3468468539</t>
  </si>
  <si>
    <t xml:space="preserve">utc@greensystemsrl.com</t>
  </si>
  <si>
    <t xml:space="preserve">Feliziani Carlo</t>
  </si>
  <si>
    <t xml:space="preserve">3397275239</t>
  </si>
  <si>
    <t xml:space="preserve">carlo.felizianitab@gmail.com</t>
  </si>
  <si>
    <t xml:space="preserve">Relining</t>
  </si>
  <si>
    <t xml:space="preserve">Registro chiamate 2026 – motivo 'RELINING' – tipologia 'Privato' – esito da inserire</t>
  </si>
  <si>
    <t xml:space="preserve">Uzunov Srl</t>
  </si>
  <si>
    <t xml:space="preserve">3318035418</t>
  </si>
  <si>
    <t xml:space="preserve">uzunovsrl@gmail.com</t>
  </si>
  <si>
    <t xml:space="preserve">Colaprico Alessandro</t>
  </si>
  <si>
    <t xml:space="preserve">3290183973</t>
  </si>
  <si>
    <t xml:space="preserve">alessandro.colaprico@gmail.com</t>
  </si>
  <si>
    <t xml:space="preserve">Giommi Francesco</t>
  </si>
  <si>
    <t xml:space="preserve">3534401472</t>
  </si>
  <si>
    <t xml:space="preserve">renzanueva@gmail.com</t>
  </si>
  <si>
    <t xml:space="preserve">Registro chiamate 2026 – motivo 'PULIZIA' – tipologia 'Attività' – esito da inserire</t>
  </si>
  <si>
    <t xml:space="preserve">Mazzola Roberto</t>
  </si>
  <si>
    <t xml:space="preserve">3204731050</t>
  </si>
  <si>
    <t xml:space="preserve">info@mazzolamobili.it</t>
  </si>
  <si>
    <t xml:space="preserve">Dolceacqua</t>
  </si>
  <si>
    <t xml:space="preserve">Registro chiamate 2026 – motivo 'AMIANTO' – tipologia 'Attività' – esito da inserire</t>
  </si>
  <si>
    <t xml:space="preserve">Giusto Giulia</t>
  </si>
  <si>
    <t xml:space="preserve">3474351879</t>
  </si>
  <si>
    <t xml:space="preserve">giustogiulia@gmail.com</t>
  </si>
  <si>
    <t xml:space="preserve">Quiliano</t>
  </si>
  <si>
    <t xml:space="preserve">Uzunov Adrian</t>
  </si>
  <si>
    <t xml:space="preserve">Mai Stefano</t>
  </si>
  <si>
    <t xml:space="preserve">3333041279</t>
  </si>
  <si>
    <t xml:space="preserve">stefanomai@gmail.com</t>
  </si>
  <si>
    <t xml:space="preserve">Zuccarello</t>
  </si>
  <si>
    <t xml:space="preserve">Registro chiamate 2026 – motivo 'DERATIZZAZ' – tipologia 'Privato' – esito da inserire</t>
  </si>
  <si>
    <t xml:space="preserve">Volpe Andrea</t>
  </si>
  <si>
    <t xml:space="preserve">3336347160</t>
  </si>
  <si>
    <t xml:space="preserve">andrea.volpe@phd.unipi.it</t>
  </si>
  <si>
    <t xml:space="preserve">Boissano</t>
  </si>
  <si>
    <t xml:space="preserve">Nial Nizzoli Srl</t>
  </si>
  <si>
    <t xml:space="preserve">3358021311</t>
  </si>
  <si>
    <t xml:space="preserve">alberto.covri@nialnizzoli.com</t>
  </si>
  <si>
    <t xml:space="preserve">Calice Ligure</t>
  </si>
  <si>
    <t xml:space="preserve">Hpc Italia S.R.L.</t>
  </si>
  <si>
    <t xml:space="preserve">3771849892</t>
  </si>
  <si>
    <t xml:space="preserve">arianna.russo@hpc.ag</t>
  </si>
  <si>
    <t xml:space="preserve">Milano</t>
  </si>
  <si>
    <t xml:space="preserve">Registro chiamate 2026 – motivo 'PULIZ.' – tipologia 'Società di' – esito da inserire</t>
  </si>
  <si>
    <t xml:space="preserve">Edilservizi Srl</t>
  </si>
  <si>
    <t xml:space="preserve">3288356330</t>
  </si>
  <si>
    <t xml:space="preserve">paola.sirello@edilservizisrl.it</t>
  </si>
  <si>
    <t xml:space="preserve">Albissola</t>
  </si>
  <si>
    <t xml:space="preserve">Turri Alice</t>
  </si>
  <si>
    <t xml:space="preserve">3497721380</t>
  </si>
  <si>
    <t xml:space="preserve">Registro chiamate 2026 – motivo 'RIFIUTI' – tipologia 'Attività' – esito da inserire</t>
  </si>
  <si>
    <t xml:space="preserve">+1(916)293-6674</t>
  </si>
  <si>
    <t xml:space="preserve">Fognatura / spurgo</t>
  </si>
  <si>
    <t xml:space="preserve">Registro chiamate 2026 – motivo 'FOGNA' – tipologia 'Privato' – esito da inserire</t>
  </si>
  <si>
    <t xml:space="preserve">Google</t>
  </si>
  <si>
    <t xml:space="preserve">Basadonne Antonella</t>
  </si>
  <si>
    <t xml:space="preserve">3407815448</t>
  </si>
  <si>
    <t xml:space="preserve">Danila Morgavi</t>
  </si>
  <si>
    <t xml:space="preserve">3664285078</t>
  </si>
  <si>
    <t xml:space="preserve">Alessandria</t>
  </si>
  <si>
    <t xml:space="preserve">Amoroso Alessio</t>
  </si>
  <si>
    <t xml:space="preserve">3534492059</t>
  </si>
  <si>
    <t xml:space="preserve">alessioamoroso@icloud.com</t>
  </si>
  <si>
    <t xml:space="preserve">Noli</t>
  </si>
  <si>
    <t xml:space="preserve">Husshin</t>
  </si>
  <si>
    <t xml:space="preserve">3806545438</t>
  </si>
  <si>
    <t xml:space="preserve">Gatto Luca</t>
  </si>
  <si>
    <t xml:space="preserve">3886472046</t>
  </si>
  <si>
    <t xml:space="preserve">Rodighiero Giacomo</t>
  </si>
  <si>
    <t xml:space="preserve">3280844446</t>
  </si>
  <si>
    <t xml:space="preserve">Motivo non indicato</t>
  </si>
  <si>
    <t xml:space="preserve">Registro chiamate 2026 – motivo 'n.d.' – tipologia 'Attività' – esito da inserire</t>
  </si>
  <si>
    <t xml:space="preserve">Pagliaffo Laura</t>
  </si>
  <si>
    <t xml:space="preserve">3493415040</t>
  </si>
  <si>
    <t xml:space="preserve">Tovo S.G.</t>
  </si>
  <si>
    <t xml:space="preserve">Registro chiamate 2026 – motivo 'n.d.' – tipologia 'Privato' – esito da inserire</t>
  </si>
  <si>
    <t xml:space="preserve">Vigo Ilma</t>
  </si>
  <si>
    <t xml:space="preserve">3487762409</t>
  </si>
  <si>
    <t xml:space="preserve">Lucia Richeri</t>
  </si>
  <si>
    <t xml:space="preserve">3476499112</t>
  </si>
  <si>
    <t xml:space="preserve">Maram K.</t>
  </si>
  <si>
    <t xml:space="preserve">3926199199</t>
  </si>
  <si>
    <t xml:space="preserve">Sanremo</t>
  </si>
  <si>
    <t xml:space="preserve">Disinfestazione insetti</t>
  </si>
  <si>
    <t xml:space="preserve">Marcello Federico</t>
  </si>
  <si>
    <t xml:space="preserve">3468030580</t>
  </si>
  <si>
    <t xml:space="preserve">Ispezione</t>
  </si>
  <si>
    <t xml:space="preserve">Registro chiamate 2026 – motivo 'ISPEZIONI' – tipologia 'Amm.ni' – esito da inserire</t>
  </si>
  <si>
    <t xml:space="preserve">Francesco Andreotti</t>
  </si>
  <si>
    <t xml:space="preserve">3408745237</t>
  </si>
  <si>
    <t xml:space="preserve">Laigueglia</t>
  </si>
  <si>
    <t xml:space="preserve">Lucio Ruscoschi</t>
  </si>
  <si>
    <t xml:space="preserve">3493852666</t>
  </si>
  <si>
    <t xml:space="preserve">Paolo Quattrocolo</t>
  </si>
  <si>
    <t xml:space="preserve">3420605107</t>
  </si>
  <si>
    <t xml:space="preserve">Giovanni P.</t>
  </si>
  <si>
    <t xml:space="preserve">3395955939</t>
  </si>
  <si>
    <t xml:space="preserve">giannipoggio@gmail.com</t>
  </si>
  <si>
    <t xml:space="preserve">Borghetto Santo Spirito</t>
  </si>
  <si>
    <t xml:space="preserve">Sentito per telefono 01/04 (Contini) – esito da verificare</t>
  </si>
  <si>
    <t xml:space="preserve">Giovanna Carlutto</t>
  </si>
  <si>
    <t xml:space="preserve">3447968824</t>
  </si>
  <si>
    <t xml:space="preserve">Coldirodi</t>
  </si>
  <si>
    <t xml:space="preserve">Vincenzo Fassone</t>
  </si>
  <si>
    <t xml:space="preserve">3336646033</t>
  </si>
  <si>
    <t xml:space="preserve">Giusvalla</t>
  </si>
  <si>
    <t xml:space="preserve">Stefania Stasi</t>
  </si>
  <si>
    <t xml:space="preserve">3400732664</t>
  </si>
  <si>
    <t xml:space="preserve">Ceriale</t>
  </si>
  <si>
    <t xml:space="preserve">Luca Murialdo</t>
  </si>
  <si>
    <t xml:space="preserve">3497195892</t>
  </si>
  <si>
    <t xml:space="preserve">Geri Maura</t>
  </si>
  <si>
    <t xml:space="preserve">3293903231</t>
  </si>
  <si>
    <t xml:space="preserve">Carbuta</t>
  </si>
  <si>
    <t xml:space="preserve">Gian Piero Aicardi</t>
  </si>
  <si>
    <t xml:space="preserve">3356069535</t>
  </si>
  <si>
    <t xml:space="preserve">Magliolo</t>
  </si>
  <si>
    <t xml:space="preserve">Bonardo Daniele</t>
  </si>
  <si>
    <t xml:space="preserve">3405501217</t>
  </si>
  <si>
    <t xml:space="preserve">Vespe</t>
  </si>
  <si>
    <t xml:space="preserve">Registro chiamate 2026 – motivo 'VESPE' – tipologia 'Privato' – esito da inserire</t>
  </si>
  <si>
    <t xml:space="preserve">Raimondo Ratico'</t>
  </si>
  <si>
    <t xml:space="preserve">3206255070</t>
  </si>
  <si>
    <t xml:space="preserve">Avci Sabri</t>
  </si>
  <si>
    <t xml:space="preserve">3291577998</t>
  </si>
  <si>
    <t xml:space="preserve">Fedon Mirko</t>
  </si>
  <si>
    <t xml:space="preserve">3356702190</t>
  </si>
  <si>
    <t xml:space="preserve">Bardino Vecchio</t>
  </si>
  <si>
    <t xml:space="preserve">Carla Bogliolo</t>
  </si>
  <si>
    <t xml:space="preserve">3297486517</t>
  </si>
  <si>
    <t xml:space="preserve">Roccaverano</t>
  </si>
  <si>
    <t xml:space="preserve">Riccardo Campi</t>
  </si>
  <si>
    <t xml:space="preserve">3495238497</t>
  </si>
  <si>
    <t xml:space="preserve">rikic1979@gmai.com</t>
  </si>
  <si>
    <t xml:space="preserve">Plodio</t>
  </si>
  <si>
    <t xml:space="preserve">Gaggero Sergio</t>
  </si>
  <si>
    <t xml:space="preserve">3384308189</t>
  </si>
  <si>
    <t xml:space="preserve">Rialto</t>
  </si>
  <si>
    <t xml:space="preserve">Antonella Pesce</t>
  </si>
  <si>
    <t xml:space="preserve">3284777458</t>
  </si>
  <si>
    <t xml:space="preserve">Genitoni Claudio Isaia</t>
  </si>
  <si>
    <t xml:space="preserve">3478310397</t>
  </si>
  <si>
    <t xml:space="preserve">Marangon Anna</t>
  </si>
  <si>
    <t xml:space="preserve">3286777421</t>
  </si>
  <si>
    <t xml:space="preserve">Toirano</t>
  </si>
  <si>
    <t xml:space="preserve">Felisia D.</t>
  </si>
  <si>
    <t xml:space="preserve">3407188935</t>
  </si>
  <si>
    <t xml:space="preserve">Riva Ligure</t>
  </si>
  <si>
    <t xml:space="preserve">Disinfestazione pulci/zecche: Zecche sul cane e in casa</t>
  </si>
  <si>
    <t xml:space="preserve">Risposto 20/04: sopralluogo gratuito – esito da verificare</t>
  </si>
  <si>
    <t xml:space="preserve">Lucrezia Fasolo</t>
  </si>
  <si>
    <t xml:space="preserve">3201575201</t>
  </si>
  <si>
    <t xml:space="preserve">Ettore Carpentieri</t>
  </si>
  <si>
    <t xml:space="preserve">3406145339</t>
  </si>
  <si>
    <t xml:space="preserve">Emily Mirch</t>
  </si>
  <si>
    <t xml:space="preserve">347369777</t>
  </si>
  <si>
    <t xml:space="preserve">Urbe</t>
  </si>
  <si>
    <t xml:space="preserve">Martin Nilsson</t>
  </si>
  <si>
    <t xml:space="preserve">+46768653193</t>
  </si>
  <si>
    <t xml:space="preserve">martin.nilsson7210@gmail.com</t>
  </si>
  <si>
    <t xml:space="preserve">Badalucco</t>
  </si>
  <si>
    <t xml:space="preserve">Laura T.</t>
  </si>
  <si>
    <t xml:space="preserve">3471406840</t>
  </si>
  <si>
    <t xml:space="preserve">tibald.laura@gmail.com</t>
  </si>
  <si>
    <t xml:space="preserve">Spurgo fognature</t>
  </si>
  <si>
    <t xml:space="preserve">Lavagna Francesco</t>
  </si>
  <si>
    <t xml:space="preserve">3402481456</t>
  </si>
  <si>
    <t xml:space="preserve">Borgio V.</t>
  </si>
  <si>
    <t xml:space="preserve">Registro chiamate 2026 – motivo 'PULIZ.' – tipologia 'Privato' – esito da inserire</t>
  </si>
  <si>
    <t xml:space="preserve">3285482540</t>
  </si>
  <si>
    <t xml:space="preserve">Registro chiamate 2026 – motivo 'RIFIUTI' – tipologia 'Campeggio' – esito da inserire</t>
  </si>
  <si>
    <t xml:space="preserve">Ifex Group S.R.L.</t>
  </si>
  <si>
    <t xml:space="preserve">019264113</t>
  </si>
  <si>
    <t xml:space="preserve">Gadina Rossana</t>
  </si>
  <si>
    <t xml:space="preserve">0196898047</t>
  </si>
  <si>
    <t xml:space="preserve">Briozzo Mauro</t>
  </si>
  <si>
    <t xml:space="preserve">3335846991</t>
  </si>
  <si>
    <t xml:space="preserve">Calizzano</t>
  </si>
  <si>
    <t xml:space="preserve">Luca Negro</t>
  </si>
  <si>
    <t xml:space="preserve">3393394253</t>
  </si>
  <si>
    <t xml:space="preserve">Albisola</t>
  </si>
  <si>
    <t xml:space="preserve">La Monaca Carmelo</t>
  </si>
  <si>
    <t xml:space="preserve">3444879016</t>
  </si>
  <si>
    <t xml:space="preserve">Mario Cimnotta</t>
  </si>
  <si>
    <t xml:space="preserve">3387877320</t>
  </si>
  <si>
    <t xml:space="preserve">Girardi Rosa</t>
  </si>
  <si>
    <t xml:space="preserve">3483631657</t>
  </si>
  <si>
    <t xml:space="preserve">Paolo Berio</t>
  </si>
  <si>
    <t xml:space="preserve">3333362175</t>
  </si>
  <si>
    <t xml:space="preserve">Maricchia Moreno</t>
  </si>
  <si>
    <t xml:space="preserve">0033609268459</t>
  </si>
  <si>
    <t xml:space="preserve">Alassio</t>
  </si>
  <si>
    <t xml:space="preserve">Marenco Daniele</t>
  </si>
  <si>
    <t xml:space="preserve">3467031155</t>
  </si>
  <si>
    <t xml:space="preserve">marencodaniele@gmail.com</t>
  </si>
  <si>
    <t xml:space="preserve">Giustenice</t>
  </si>
  <si>
    <t xml:space="preserve">Oscar Sicbaldi</t>
  </si>
  <si>
    <t xml:space="preserve">3339872835</t>
  </si>
  <si>
    <t xml:space="preserve">Registro chiamate 2026 – motivo 'PULIZIA' – tipologia 'Privato' – esito da inserire</t>
  </si>
  <si>
    <t xml:space="preserve">Pinotti Tiziano</t>
  </si>
  <si>
    <t xml:space="preserve">3201647496</t>
  </si>
  <si>
    <t xml:space="preserve">Popolo Adriana</t>
  </si>
  <si>
    <t xml:space="preserve">3384732925</t>
  </si>
  <si>
    <t xml:space="preserve">Varazze</t>
  </si>
  <si>
    <t xml:space="preserve">Comune Di</t>
  </si>
  <si>
    <t xml:space="preserve">Osama</t>
  </si>
  <si>
    <t xml:space="preserve">3319514891</t>
  </si>
  <si>
    <t xml:space="preserve">Para Alessandro</t>
  </si>
  <si>
    <t xml:space="preserve">3478180977</t>
  </si>
  <si>
    <t xml:space="preserve">Millesimo</t>
  </si>
  <si>
    <t xml:space="preserve">Elisa Negro</t>
  </si>
  <si>
    <t xml:space="preserve">3339656775</t>
  </si>
  <si>
    <t xml:space="preserve">Registro chiamate 2026 – motivo 'RICERCA' – tipologia 'Privato' – esito da inserire</t>
  </si>
  <si>
    <t xml:space="preserve">Cristina Pellizzola</t>
  </si>
  <si>
    <t xml:space="preserve">3473395230</t>
  </si>
  <si>
    <t xml:space="preserve">Volatili</t>
  </si>
  <si>
    <t xml:space="preserve">Registro chiamate 2026 – motivo 'VOLATILI' – tipologia 'Privato' – esito da inserire</t>
  </si>
  <si>
    <t xml:space="preserve">Silvia Risso</t>
  </si>
  <si>
    <t xml:space="preserve">3341659302</t>
  </si>
  <si>
    <t xml:space="preserve">Sant'Ermete</t>
  </si>
  <si>
    <t xml:space="preserve">Rolando Romeo</t>
  </si>
  <si>
    <t xml:space="preserve">3923048246</t>
  </si>
  <si>
    <t xml:space="preserve">Cairo</t>
  </si>
  <si>
    <t xml:space="preserve">Rossi Corradi</t>
  </si>
  <si>
    <t xml:space="preserve">3335453074</t>
  </si>
  <si>
    <t xml:space="preserve">Edil Service</t>
  </si>
  <si>
    <t xml:space="preserve">3899682857</t>
  </si>
  <si>
    <t xml:space="preserve">Finale</t>
  </si>
  <si>
    <t xml:space="preserve">Handanu Mirela</t>
  </si>
  <si>
    <t xml:space="preserve">3270681565</t>
  </si>
  <si>
    <t xml:space="preserve">D'Elia Riccardo</t>
  </si>
  <si>
    <t xml:space="preserve">3926171572</t>
  </si>
  <si>
    <t xml:space="preserve">Diquinzio Dino</t>
  </si>
  <si>
    <t xml:space="preserve">01832839304</t>
  </si>
  <si>
    <t xml:space="preserve">dino.quinzi@vigilfuoco.it</t>
  </si>
  <si>
    <t xml:space="preserve">Registro chiamate 2026 – motivo 'AMIANTO' – tipologia 'Enti pubblici' – esito da inserire</t>
  </si>
  <si>
    <t xml:space="preserve">Ecocentro</t>
  </si>
  <si>
    <t xml:space="preserve">Giorgio Zambelli</t>
  </si>
  <si>
    <t xml:space="preserve">3349617702</t>
  </si>
  <si>
    <t xml:space="preserve">Monreale Demito</t>
  </si>
  <si>
    <t xml:space="preserve">3208506386</t>
  </si>
  <si>
    <t xml:space="preserve">Ventimiglia</t>
  </si>
  <si>
    <t xml:space="preserve">Immobiliare Costruzioni</t>
  </si>
  <si>
    <t xml:space="preserve">3318814438</t>
  </si>
  <si>
    <t xml:space="preserve">lorenzofava@alice.it</t>
  </si>
  <si>
    <t xml:space="preserve">Registro chiamate 2026 – motivo 'FOGNA' – tipologia 'Imp. Edile' – esito da inserire</t>
  </si>
  <si>
    <t xml:space="preserve">Cite</t>
  </si>
  <si>
    <t xml:space="preserve">0290721211</t>
  </si>
  <si>
    <t xml:space="preserve">Detto</t>
  </si>
  <si>
    <t xml:space="preserve">Pometto Susanna</t>
  </si>
  <si>
    <t xml:space="preserve">3807012186</t>
  </si>
  <si>
    <t xml:space="preserve">susanna.pometto@gmail.com</t>
  </si>
  <si>
    <t xml:space="preserve">Dumitru D.</t>
  </si>
  <si>
    <t xml:space="preserve">3388707301</t>
  </si>
  <si>
    <t xml:space="preserve">dumidanci1984@gmail.com</t>
  </si>
  <si>
    <t xml:space="preserve">Dego</t>
  </si>
  <si>
    <t xml:space="preserve">Changong</t>
  </si>
  <si>
    <t xml:space="preserve">3383845882</t>
  </si>
  <si>
    <t xml:space="preserve">Monica Pizzo</t>
  </si>
  <si>
    <t xml:space="preserve">3398639119</t>
  </si>
  <si>
    <t xml:space="preserve">Edillushi</t>
  </si>
  <si>
    <t xml:space="preserve">3475069909</t>
  </si>
  <si>
    <t xml:space="preserve">edillushi@hotmail.com</t>
  </si>
  <si>
    <t xml:space="preserve">Pietra L.</t>
  </si>
  <si>
    <t xml:space="preserve">Marcello Lombardo</t>
  </si>
  <si>
    <t xml:space="preserve">33398116936</t>
  </si>
  <si>
    <t xml:space="preserve">Giorgia B.</t>
  </si>
  <si>
    <t xml:space="preserve">3403344375</t>
  </si>
  <si>
    <t xml:space="preserve">bertonegiorgia19@gmail.com</t>
  </si>
  <si>
    <t xml:space="preserve">Disinfestazione insetti (termiti): Veranda in legno piena di termiti</t>
  </si>
  <si>
    <t xml:space="preserve">Pio Roberto</t>
  </si>
  <si>
    <t xml:space="preserve">3939638416</t>
  </si>
  <si>
    <t xml:space="preserve">Finale L.</t>
  </si>
  <si>
    <t xml:space="preserve">Registro chiamate 2026 – motivo 'BONIFICA' – tipologia 'Agenzia' – esito da inserire</t>
  </si>
  <si>
    <t xml:space="preserve">Dascalasu Alessandro</t>
  </si>
  <si>
    <t xml:space="preserve">3898707972</t>
  </si>
  <si>
    <t xml:space="preserve">Diano S. Pietro</t>
  </si>
  <si>
    <t xml:space="preserve">Ispezione TV fognatura</t>
  </si>
  <si>
    <t xml:space="preserve">Registro chiamate 2026 – motivo 'IT FOGNA' – tipologia 'Privato' – esito da inserire</t>
  </si>
  <si>
    <t xml:space="preserve">Stagnaro Andrea</t>
  </si>
  <si>
    <t xml:space="preserve">3402244742</t>
  </si>
  <si>
    <t xml:space="preserve">Hotel Villa Imperiale</t>
  </si>
  <si>
    <t xml:space="preserve">019745122</t>
  </si>
  <si>
    <t xml:space="preserve">Registro chiamate 2026 – motivo 'FOGNA' – tipologia 'Albergo' – esito da inserire</t>
  </si>
  <si>
    <t xml:space="preserve">Maffei Enrica</t>
  </si>
  <si>
    <t xml:space="preserve">3397101524</t>
  </si>
  <si>
    <t xml:space="preserve">Registro chiamate 2026 – motivo 'FOGNA' – tipologia 'Campeggio' – esito da inserire</t>
  </si>
  <si>
    <t xml:space="preserve">Edil Costruzioni</t>
  </si>
  <si>
    <t xml:space="preserve">3207036424</t>
  </si>
  <si>
    <t xml:space="preserve">Fitap</t>
  </si>
  <si>
    <t xml:space="preserve">03621400862</t>
  </si>
  <si>
    <t xml:space="preserve">Ferretti Ercole</t>
  </si>
  <si>
    <t xml:space="preserve">3474146710</t>
  </si>
  <si>
    <t xml:space="preserve">San Lorenzo Al</t>
  </si>
  <si>
    <t xml:space="preserve">Franca Caggioli</t>
  </si>
  <si>
    <t xml:space="preserve">3482448786</t>
  </si>
  <si>
    <t xml:space="preserve">Derattizzazione/disinfestazione</t>
  </si>
  <si>
    <t xml:space="preserve">Registro chiamate 2026 – motivo 'DER/DIS' – tipologia 'Privato' – esito da inserire</t>
  </si>
  <si>
    <t xml:space="preserve">Bovero</t>
  </si>
  <si>
    <t xml:space="preserve">Crocco Emanuele</t>
  </si>
  <si>
    <t xml:space="preserve">3356609567</t>
  </si>
  <si>
    <t xml:space="preserve">Registro chiamate 2026 – motivo 'PULIZ.' – tipologia 'Imp. Edile' – esito da inserire</t>
  </si>
  <si>
    <t xml:space="preserve">Gianni Beri</t>
  </si>
  <si>
    <t xml:space="preserve">3358280190</t>
  </si>
  <si>
    <t xml:space="preserve">Giulio Cesare</t>
  </si>
  <si>
    <t xml:space="preserve">3496411759</t>
  </si>
  <si>
    <t xml:space="preserve">Registro chiamate 2026 – motivo 'DERATIZZAZ' – tipologia 'Attività' – esito da inserire</t>
  </si>
  <si>
    <t xml:space="preserve">Pizzeria Da Diego</t>
  </si>
  <si>
    <t xml:space="preserve">3400051751</t>
  </si>
  <si>
    <t xml:space="preserve">Albisola M.</t>
  </si>
  <si>
    <t xml:space="preserve">Bottaro Elisa</t>
  </si>
  <si>
    <t xml:space="preserve">3517053388</t>
  </si>
  <si>
    <t xml:space="preserve">Geom. Boeri</t>
  </si>
  <si>
    <t xml:space="preserve">3312670561</t>
  </si>
  <si>
    <t xml:space="preserve">Registro chiamate 2026 – motivo 'PULIZ.' – tipologia 'Amm.ni' – esito da inserire</t>
  </si>
  <si>
    <t xml:space="preserve">Rottamitalia</t>
  </si>
  <si>
    <t xml:space="preserve">Covelli Nicola</t>
  </si>
  <si>
    <t xml:space="preserve">3381158006</t>
  </si>
  <si>
    <t xml:space="preserve">Ranzo</t>
  </si>
  <si>
    <t xml:space="preserve">Germanetti Carlo</t>
  </si>
  <si>
    <t xml:space="preserve">3358097327</t>
  </si>
  <si>
    <t xml:space="preserve">Lami</t>
  </si>
  <si>
    <t xml:space="preserve">3472868761</t>
  </si>
  <si>
    <t xml:space="preserve">Zunino S.R.L.</t>
  </si>
  <si>
    <t xml:space="preserve">3292093280</t>
  </si>
  <si>
    <t xml:space="preserve">Carcare</t>
  </si>
  <si>
    <t xml:space="preserve">Rolfo Lorella</t>
  </si>
  <si>
    <t xml:space="preserve">3471408845</t>
  </si>
  <si>
    <t xml:space="preserve">Muratore Marco</t>
  </si>
  <si>
    <t xml:space="preserve">3395355632</t>
  </si>
  <si>
    <t xml:space="preserve">Lanfranchi Loris</t>
  </si>
  <si>
    <t xml:space="preserve">335481522</t>
  </si>
  <si>
    <t xml:space="preserve">Bellonotto Erica</t>
  </si>
  <si>
    <t xml:space="preserve">347855743</t>
  </si>
  <si>
    <t xml:space="preserve">De Benedetti</t>
  </si>
  <si>
    <t xml:space="preserve">3484024241</t>
  </si>
  <si>
    <t xml:space="preserve">Cavigli</t>
  </si>
  <si>
    <t xml:space="preserve">3387821078</t>
  </si>
  <si>
    <t xml:space="preserve">Finocchio Tommaso</t>
  </si>
  <si>
    <t xml:space="preserve">3472349391</t>
  </si>
  <si>
    <t xml:space="preserve">Stefano Ranieri</t>
  </si>
  <si>
    <t xml:space="preserve">3460180757</t>
  </si>
  <si>
    <t xml:space="preserve">Palmiere Mirko</t>
  </si>
  <si>
    <t xml:space="preserve">3480855982</t>
  </si>
  <si>
    <t xml:space="preserve">Registro chiamate 2026 – motivo 'BONIFICA' – tipologia 'Attività' – esito da inserire</t>
  </si>
  <si>
    <t xml:space="preserve">Yuri</t>
  </si>
  <si>
    <t xml:space="preserve">3934256342</t>
  </si>
  <si>
    <t xml:space="preserve">3396556653</t>
  </si>
  <si>
    <t xml:space="preserve">Paola Lavazzelli</t>
  </si>
  <si>
    <t xml:space="preserve">3381754488</t>
  </si>
  <si>
    <t xml:space="preserve">Giovanni Bonadonna</t>
  </si>
  <si>
    <t xml:space="preserve">3473010379</t>
  </si>
  <si>
    <t xml:space="preserve">Alessandro Averla</t>
  </si>
  <si>
    <t xml:space="preserve">0198402305</t>
  </si>
  <si>
    <t xml:space="preserve">Registro chiamate 2026 – motivo 'RIFIUTI' – tipologia 'Azienda' – esito da inserire</t>
  </si>
  <si>
    <t xml:space="preserve">Natta Maurizio</t>
  </si>
  <si>
    <t xml:space="preserve">33571920971</t>
  </si>
  <si>
    <t xml:space="preserve">Edil2 Costruzioni</t>
  </si>
  <si>
    <t xml:space="preserve">3462537737</t>
  </si>
  <si>
    <t xml:space="preserve">Carnia Srl</t>
  </si>
  <si>
    <t xml:space="preserve">3492393065</t>
  </si>
  <si>
    <t xml:space="preserve">Caponigro Armando</t>
  </si>
  <si>
    <t xml:space="preserve">3385096100</t>
  </si>
  <si>
    <t xml:space="preserve">Registro chiamate 2026 – motivo 'SANIFICAZI' – tipologia 'Privato' – esito da inserire</t>
  </si>
  <si>
    <t xml:space="preserve">Giusto Luca</t>
  </si>
  <si>
    <t xml:space="preserve">3403882298</t>
  </si>
  <si>
    <t xml:space="preserve">Centro Forn.</t>
  </si>
  <si>
    <t xml:space="preserve">0192160053</t>
  </si>
  <si>
    <t xml:space="preserve">Vado L.</t>
  </si>
  <si>
    <t xml:space="preserve">Piovano</t>
  </si>
  <si>
    <t xml:space="preserve">3409681583</t>
  </si>
  <si>
    <t xml:space="preserve">Nadia B.</t>
  </si>
  <si>
    <t xml:space="preserve">3889507545</t>
  </si>
  <si>
    <t xml:space="preserve">rayannadia2@gmail.com</t>
  </si>
  <si>
    <t xml:space="preserve">Disinfestazione scarafaggi: Ho scarafaggi in cucina, escono di notte</t>
  </si>
  <si>
    <t xml:space="preserve">Saccarello Maria Luisa</t>
  </si>
  <si>
    <t xml:space="preserve">3356341008</t>
  </si>
  <si>
    <t xml:space="preserve">Moreschini</t>
  </si>
  <si>
    <t xml:space="preserve">3466951147</t>
  </si>
  <si>
    <t xml:space="preserve">Borghetto</t>
  </si>
  <si>
    <t xml:space="preserve">Stefano Ragusa</t>
  </si>
  <si>
    <t xml:space="preserve">3385055980</t>
  </si>
  <si>
    <t xml:space="preserve">Giorgio B.</t>
  </si>
  <si>
    <t xml:space="preserve">3473802904</t>
  </si>
  <si>
    <t xml:space="preserve">g.bruzzone1965@gmail.com</t>
  </si>
  <si>
    <t xml:space="preserve">Sassello</t>
  </si>
  <si>
    <t xml:space="preserve">Manuele Maxima</t>
  </si>
  <si>
    <t xml:space="preserve">3453124980</t>
  </si>
  <si>
    <t xml:space="preserve">Alonso Artigiano Edile</t>
  </si>
  <si>
    <t xml:space="preserve">3356044494</t>
  </si>
  <si>
    <t xml:space="preserve">Registro chiamate 2026 – motivo 'RIFIUTI' – tipologia 'Artigiano' – esito da inserire</t>
  </si>
  <si>
    <t xml:space="preserve">Gallina Roberto</t>
  </si>
  <si>
    <t xml:space="preserve">39391958876</t>
  </si>
  <si>
    <t xml:space="preserve">Silvia Chiesa</t>
  </si>
  <si>
    <t xml:space="preserve">3338274879</t>
  </si>
  <si>
    <t xml:space="preserve">Nattero</t>
  </si>
  <si>
    <t xml:space="preserve">335473289</t>
  </si>
  <si>
    <t xml:space="preserve">Gambarola</t>
  </si>
  <si>
    <t xml:space="preserve">3280384718</t>
  </si>
  <si>
    <t xml:space="preserve">Elena Pastorelli</t>
  </si>
  <si>
    <t xml:space="preserve">3389708662</t>
  </si>
  <si>
    <t xml:space="preserve">Garlenda</t>
  </si>
  <si>
    <t xml:space="preserve">Durante Antonio</t>
  </si>
  <si>
    <t xml:space="preserve">3383094267</t>
  </si>
  <si>
    <t xml:space="preserve">Albisola Sup.</t>
  </si>
  <si>
    <t xml:space="preserve">Luca Scanzi</t>
  </si>
  <si>
    <t xml:space="preserve">3482224891</t>
  </si>
  <si>
    <t xml:space="preserve">Arch. Nicolova</t>
  </si>
  <si>
    <t xml:space="preserve">3392586900</t>
  </si>
  <si>
    <t xml:space="preserve">Paolo Chiusaroli</t>
  </si>
  <si>
    <t xml:space="preserve">3465035851</t>
  </si>
  <si>
    <t xml:space="preserve">Colotti Bruno</t>
  </si>
  <si>
    <t xml:space="preserve">3285831398</t>
  </si>
  <si>
    <t xml:space="preserve">Sestri P.</t>
  </si>
  <si>
    <t xml:space="preserve">Blu Ambiente</t>
  </si>
  <si>
    <t xml:space="preserve">Termoclima</t>
  </si>
  <si>
    <t xml:space="preserve">3466049400</t>
  </si>
  <si>
    <t xml:space="preserve">Cairo M.</t>
  </si>
  <si>
    <t xml:space="preserve">Bertucci Paolo</t>
  </si>
  <si>
    <t xml:space="preserve">3356661649</t>
  </si>
  <si>
    <t xml:space="preserve">Cond. Francesca</t>
  </si>
  <si>
    <t xml:space="preserve">3286656384</t>
  </si>
  <si>
    <t xml:space="preserve">Registro chiamate 2026 – motivo 'IT FOGNA' – tipologia 'Amm.ni' – esito da inserire</t>
  </si>
  <si>
    <t xml:space="preserve">Donatella Pittino</t>
  </si>
  <si>
    <t xml:space="preserve">3388116151</t>
  </si>
  <si>
    <t xml:space="preserve">Ivaldi</t>
  </si>
  <si>
    <t xml:space="preserve">Paradiso Cristina</t>
  </si>
  <si>
    <t xml:space="preserve">3315424916</t>
  </si>
  <si>
    <t xml:space="preserve">Elvira I.</t>
  </si>
  <si>
    <t xml:space="preserve">3476993159</t>
  </si>
  <si>
    <t xml:space="preserve">elvira.imeri@virgilio.it</t>
  </si>
  <si>
    <t xml:space="preserve">Daniela M.</t>
  </si>
  <si>
    <t xml:space="preserve">3939836371</t>
  </si>
  <si>
    <t xml:space="preserve">ea96cantieri@gmail.com</t>
  </si>
  <si>
    <t xml:space="preserve">Disinfestazione da insetti</t>
  </si>
  <si>
    <t xml:space="preserve">IN ATTESA</t>
  </si>
  <si>
    <t xml:space="preserve">Richiesta ancora aperta su PgCasa – esito da verificare</t>
  </si>
  <si>
    <t xml:space="preserve">Bagni Le Ville</t>
  </si>
  <si>
    <t xml:space="preserve">3489333016</t>
  </si>
  <si>
    <t xml:space="preserve">Registro chiamate 2026 – motivo 'FOGNA' – tipologia 'Stabilimento' – esito da inserire</t>
  </si>
  <si>
    <t xml:space="preserve">Barbara Del Lungo</t>
  </si>
  <si>
    <t xml:space="preserve">3495830978</t>
  </si>
  <si>
    <t xml:space="preserve">3381681948</t>
  </si>
  <si>
    <t xml:space="preserve">Installazione (specificare)</t>
  </si>
  <si>
    <t xml:space="preserve">Registro chiamate 2026 – motivo 'INSTALLAZI' – tipologia 'Privato' – esito da inserire</t>
  </si>
  <si>
    <t xml:space="preserve">Joan Guerrero</t>
  </si>
  <si>
    <t xml:space="preserve">3479884368</t>
  </si>
  <si>
    <t xml:space="preserve">Gb Costruzioni</t>
  </si>
  <si>
    <t xml:space="preserve">01743441806</t>
  </si>
  <si>
    <t xml:space="preserve">Alba</t>
  </si>
  <si>
    <t xml:space="preserve">Ruaro Giovanni</t>
  </si>
  <si>
    <t xml:space="preserve">3386519878</t>
  </si>
  <si>
    <t xml:space="preserve">3453206565</t>
  </si>
  <si>
    <t xml:space="preserve">Finale. L</t>
  </si>
  <si>
    <t xml:space="preserve">3478406144</t>
  </si>
  <si>
    <t xml:space="preserve">Manenti</t>
  </si>
  <si>
    <t xml:space="preserve">3483884854</t>
  </si>
  <si>
    <t xml:space="preserve">Viola Maurizio</t>
  </si>
  <si>
    <t xml:space="preserve">3470150577</t>
  </si>
  <si>
    <t xml:space="preserve">Servizi e obblighi di legge</t>
  </si>
  <si>
    <t xml:space="preserve">Sintesi operativa per servizio – verificare sempre il testo vigente e l'iscrizione Albo aziendale</t>
  </si>
  <si>
    <t xml:space="preserve">Clienti tipici</t>
  </si>
  <si>
    <t xml:space="preserve">Codici EER tipici</t>
  </si>
  <si>
    <t xml:space="preserve">Autorizzazioni / qualifiche azienda</t>
  </si>
  <si>
    <t xml:space="preserve">Documenti per il lavoro e per il cliente</t>
  </si>
  <si>
    <t xml:space="preserve">Sicurezza lavoratori</t>
  </si>
  <si>
    <t xml:space="preserve">Mezzi e trasporto</t>
  </si>
  <si>
    <t xml:space="preserve">Note / punti critici</t>
  </si>
  <si>
    <t xml:space="preserve">Verifica interna (n. iscrizione, scadenza, chi)</t>
  </si>
  <si>
    <t xml:space="preserve">Privati, condomini, ristoranti, aziende, Comuni</t>
  </si>
  <si>
    <t xml:space="preserve">200304 fanghi fosse settiche; 200306 pulizia fognature; degrassatori: da classificare caso per caso</t>
  </si>
  <si>
    <t xml:space="preserve">Albo Gestori Ambientali cat. 4 (non pericolosi) e cat. 5 (pericolosi); iscrizione RENTRI</t>
  </si>
  <si>
    <t xml:space="preserve">Preventivo/ordine; FIR (digitale RENTRI dove dovuto); registro cronologico carico/scarico; 4ª copia/peso a destino; omologa impianto</t>
  </si>
  <si>
    <t xml:space="preserve">D.Lgs 81/08 (DVR, DPI, rischio biologico Titolo X); DPR 177/2011 se si entra in vasche, pozzi, fognature (impresa qualificata, 30% personale formato, preposto, addetto recupero)</t>
  </si>
  <si>
    <t xml:space="preserve">Mezzi iscritti all'Albo per i codici EER trasportati; ADR (autista con patentino ADR, consulente ADR, cisterna omologata) per rifiuti pericolosi</t>
  </si>
  <si>
    <t xml:space="preserve">Art. 230 c.5 D.Lgs 152/06: i rifiuti dalla pulizia manutentiva delle reti fognarie si considerano prodotti da chi fa la pulizia → FIR a nome nostro come produttore</t>
  </si>
  <si>
    <t xml:space="preserve">Albo MI03807: cat. 4D (non pericolosi) fino al 13/10/2031; cat. 5E (pericolosi) fino al 16/01/2030. Verificare targa + EER sul provvedimento.</t>
  </si>
  <si>
    <t xml:space="preserve">Condomini, amministratori, Comuni, imprese, assicurazioni</t>
  </si>
  <si>
    <t xml:space="preserve">Nessuno (se abbinata a spurgo vedi riga autospurgo)</t>
  </si>
  <si>
    <t xml:space="preserve">Nessuna autorizzazione ambientale specifica</t>
  </si>
  <si>
    <t xml:space="preserve">Rapporto di videoispezione con video/foto e planimetria; utile per pratiche assicurative e progetti</t>
  </si>
  <si>
    <t xml:space="preserve">D.Lgs 81/08; DPR 177/2011 se accesso a camerette; lavori su strada: segnaletica cantieri stradali (DI 22/01/2019) e formazione addetti</t>
  </si>
  <si>
    <t xml:space="preserve">Occupazione suolo/segnaletica se su strada pubblica (permesso Comune/Polizia locale)</t>
  </si>
  <si>
    <t xml:space="preserve">Servizio 'porta' per relining e spurghi: proporlo in pacchetto</t>
  </si>
  <si>
    <t xml:space="preserve">Privati, condomini, aziende, assicurazioni</t>
  </si>
  <si>
    <t xml:space="preserve">Nessuno</t>
  </si>
  <si>
    <t xml:space="preserve">Nessuna specifica; se si interviene sugli impianti idraulici serve abilitazione DM 37/2008</t>
  </si>
  <si>
    <t xml:space="preserve">Relazione tecnica con punti di perdita, foto/termografia</t>
  </si>
  <si>
    <t xml:space="preserve">D.Lgs 81/08</t>
  </si>
  <si>
    <t xml:space="preserve">Spesso richiesta dalle assicurazioni: relazione ben fatta = argomento di vendita</t>
  </si>
  <si>
    <t xml:space="preserve">Condomini, privati, aziende, enti</t>
  </si>
  <si>
    <t xml:space="preserve">170904 / 170203 se si producono scarti</t>
  </si>
  <si>
    <t xml:space="preserve">Abilitazione DM 37/2008 per impianti idrico-sanitari negli edifici</t>
  </si>
  <si>
    <t xml:space="preserve">Videoispezione prima/dopo; dichiarazione di conformità DM 37/08 dove dovuta; schede tecniche materiali (DM 174/2004 se acqua potabile); garanzia</t>
  </si>
  <si>
    <t xml:space="preserve">D.Lgs 81/08; uso resine: schede di sicurezza, ventilazione; DPR 177/2011 se in spazio confinato</t>
  </si>
  <si>
    <t xml:space="preserve">Vendere sempre con videoispezione iniziale e finale</t>
  </si>
  <si>
    <t xml:space="preserve">Cantieri, eventi, Comuni</t>
  </si>
  <si>
    <t xml:space="preserve">200304 reflui</t>
  </si>
  <si>
    <t xml:space="preserve">Albo cat. 4 per il trasporto reflui; RENTRI</t>
  </si>
  <si>
    <t xml:space="preserve">Contratto di noleggio; FIR per lo svuotamento; registro</t>
  </si>
  <si>
    <t xml:space="preserve">D.Lgs 81/08 (rischio biologico)</t>
  </si>
  <si>
    <t xml:space="preserve">Mezzo autospurgo iscritto all'Albo; permesso suolo pubblico per eventi</t>
  </si>
  <si>
    <t xml:space="preserve">Per i cantieri il bagno è obbligo del committente/impresa (D.Lgs 81/08, Allegato XIII)</t>
  </si>
  <si>
    <t xml:space="preserve">Albo MI03807: cat. 4D (non pericolosi) fino al 13/10/2031. Verificare targa + EER sul provvedimento.</t>
  </si>
  <si>
    <t xml:space="preserve">Aziende, officine, cantieri, enti, porti</t>
  </si>
  <si>
    <t xml:space="preserve">Tutti i codici autorizzati sull'iscrizione Albo (vedi pagina Codici CER del sito)</t>
  </si>
  <si>
    <t xml:space="preserve">Albo cat. 4 / cat. 5; cat. 8 se si fa intermediazione senza detenzione; RENTRI (iscrizione e diritto annuale)</t>
  </si>
  <si>
    <t xml:space="preserve">Classificazione del rifiuto e analisi di caratterizzazione; omologa impianto; FIR digitale RENTRI (obbligatorio dal 13/02/2026 per gli iscritti); registro cronologico; MUD annuale</t>
  </si>
  <si>
    <t xml:space="preserve">D.Lgs 81/08 (rischio chimico Titolo IX, DPI)</t>
  </si>
  <si>
    <t xml:space="preserve">ADR per pericolosi: patentino autista, consulente ADR, etichettatura colli, documento di trasporto ADR</t>
  </si>
  <si>
    <t xml:space="preserve">Controllare che il codice EER sia sull'iscrizione Albo del mezzo PRIMA di accettare il lavoro</t>
  </si>
  <si>
    <t xml:space="preserve">Albo MI03807: cat. 4D (non pericolosi) fino al 13/10/2031; cat. 5E (pericolosi) fino al 16/01/2030; cat. 8C (intermediazione) fino al 13/10/2031. Verificare targa + EER sul provvedimento.</t>
  </si>
  <si>
    <t xml:space="preserve">Cantieri, privati per sgomberi, aziende, condomini</t>
  </si>
  <si>
    <t xml:space="preserve">170904, 170107, 200307 ingombranti, 150106, 170201…</t>
  </si>
  <si>
    <t xml:space="preserve">Albo cat. 4 (e cat. 5 se pericolosi); RENTRI</t>
  </si>
  <si>
    <t xml:space="preserve">Ordine con codice EER dichiarato dal cliente; FIR al ritiro; omologa impianto</t>
  </si>
  <si>
    <t xml:space="preserve">D.Lgs 81/08 (carico/scarico, movimentazione)</t>
  </si>
  <si>
    <t xml:space="preserve">Scarrabile iscritto; permesso occupazione suolo pubblico se cassone su strada (a cura cliente/Comune) e segnaletica</t>
  </si>
  <si>
    <t xml:space="preserve">Il rifiuto resta del cliente-produttore fino al ritiro: dichiarare subito il codice; vietato mescolare rifiuti diversi (art. 187 D.Lgs 152/06)</t>
  </si>
  <si>
    <t xml:space="preserve">Imprese edili, privati con lavori, Comuni</t>
  </si>
  <si>
    <t xml:space="preserve">170904 misti da costruzione e demolizione; 170107; 170504 terre e rocce</t>
  </si>
  <si>
    <t xml:space="preserve">Albo cat. 4; RENTRI; per impianto V.A.L.: autorizzazione impianto e End of Waste DM 152/2022</t>
  </si>
  <si>
    <t xml:space="preserve">Terre e rocce: DPR 120/2017 (sottoprodotto con dichiarazione di utilizzo, oppure rifiuto con FIR); FIR; omologa impianto</t>
  </si>
  <si>
    <t xml:space="preserve">D.Lgs 81/08 Titolo IV cantieri (POS se lavoriamo in cantiere)</t>
  </si>
  <si>
    <t xml:space="preserve">Scarrabile/cassonato iscritto all'Albo</t>
  </si>
  <si>
    <t xml:space="preserve">Procedura interna: oltre 50 t di 170904 sullo stesso cantiere serve analisi valida + omologa (skill verifica-soglia-analisi)</t>
  </si>
  <si>
    <t xml:space="preserve">Piccole aziende, artigiani, studi, officine</t>
  </si>
  <si>
    <t xml:space="preserve">Vari (oli, filtri, imballaggi, toner, ecc.)</t>
  </si>
  <si>
    <t xml:space="preserve">Albo cat. 4 / cat. 5; RENTRI</t>
  </si>
  <si>
    <t xml:space="preserve">Art. 193 D.Lgs 152/06: microraccolta con un unico FIR per il percorso con più produttori; il cliente rispetta il deposito temporaneo (art. 185-bis)</t>
  </si>
  <si>
    <t xml:space="preserve">ADR per pericolosi (spesso in esenzione parziale 1.1.3.6: verificare con consulente ADR)</t>
  </si>
  <si>
    <t xml:space="preserve">Ottimo per contratti annui con ritiri programmati</t>
  </si>
  <si>
    <t xml:space="preserve">Albo MI03807: cat. 1F (urbani) fino al 14/04/2027; cat. 4D (non pericolosi) fino al 13/10/2031; cat. 5E (pericolosi) fino al 16/01/2030. Verificare targa + EER sul provvedimento.</t>
  </si>
  <si>
    <t xml:space="preserve">Imprese edili, trasportatori</t>
  </si>
  <si>
    <t xml:space="preserve">170904, 170107, 170302…</t>
  </si>
  <si>
    <t xml:space="preserve">Autorizzazione impianto (art. 208 o procedura semplificata artt. 214-216 D.Lgs 152/06); End of Waste DM 152/2022</t>
  </si>
  <si>
    <t xml:space="preserve">Omologa in ingresso, registro, dichiarazione di conformità per l'aggregato recuperato</t>
  </si>
  <si>
    <t xml:space="preserve">Sito separato valcenesi.it: collegare i due servizi nei pacchetti cantiere</t>
  </si>
  <si>
    <t xml:space="preserve">Comuni, enti, aziende, privati (terreni)</t>
  </si>
  <si>
    <t xml:space="preserve">Vari, spesso misti e pericolosi</t>
  </si>
  <si>
    <t xml:space="preserve">Albo cat. 9 (bonifica siti) + cat. 4/5 trasporto</t>
  </si>
  <si>
    <t xml:space="preserve">D.Lgs 152/06 Parte IV Titolo V (art. 242 e segg.): caratterizzazione, progetto di bonifica approvato, certificazione finale Provincia/Città metropolitana; per discariche abusive: ordinanza sindacale (art. 192)</t>
  </si>
  <si>
    <t xml:space="preserve">D.Lgs 81/08 Titolo IV (PSC/POS), rischio chimico e biologico</t>
  </si>
  <si>
    <t xml:space="preserve">ADR per pericolosi</t>
  </si>
  <si>
    <t xml:space="preserve">Lavori pubblici: requisiti di gara (SOA, DURC, ecc.)</t>
  </si>
  <si>
    <t xml:space="preserve">Albo MI03807: cat. 9E (bonifica siti) fino al 14/04/2027; cat. 4D (non pericolosi) fino al 13/10/2031; cat. 5E (pericolosi) fino al 16/01/2030. Verificare targa + EER sul provvedimento.</t>
  </si>
  <si>
    <t xml:space="preserve">Privati, condomini, aziende, agricoltori, enti</t>
  </si>
  <si>
    <t xml:space="preserve">170605* materiali da costruzione contenenti amianto; 170601*</t>
  </si>
  <si>
    <t xml:space="preserve">Albo cat. 10A (compatto: eternit) / 10B (friabile) + cat. 5 trasporto</t>
  </si>
  <si>
    <t xml:space="preserve">Piano di lavoro all'ASL (art. 256 D.Lgs 81/08) almeno 30 giorni prima dell'inizio (salvo urgenza); notifica art. 250; FIR; per friabile: certificato di restituibilità (DM 6/9/1994)</t>
  </si>
  <si>
    <t xml:space="preserve">D.Lgs 81/08 Titolo IX Capo III: formazione DPR 8/8/1994 (operatore e coordinatore), sorveglianza sanitaria, registro esposti, DPI FFP3/tute</t>
  </si>
  <si>
    <t xml:space="preserve">ADR (UN 2590 amianto crisotilo / UN 2212 anfiboli); mezzo cat. 5</t>
  </si>
  <si>
    <t xml:space="preserve">Tempi del piano di lavoro: dirlo al cliente in fase di preventivo</t>
  </si>
  <si>
    <t xml:space="preserve">Albo MI03807: cat. 10B classe C (amianto) fino al 16/01/2030; cat. 5E (pericolosi) fino al 16/01/2030. Verificare targa + EER sul provvedimento.</t>
  </si>
  <si>
    <t xml:space="preserve">Condomini (ex gasolio), aziende, distributori, privati</t>
  </si>
  <si>
    <t xml:space="preserve">130701* gasolio; 160708* rifiuti contenenti olio; 130502*</t>
  </si>
  <si>
    <t xml:space="preserve">Albo cat. 4 / 5; RENTRI</t>
  </si>
  <si>
    <t xml:space="preserve">Certificato di bonifica/gas-free a fine lavori; documentazione per dismissione serbatoio (Comune/VVF secondo i casi); FIR</t>
  </si>
  <si>
    <t xml:space="preserve">DPR 177/2011 OBBLIGATORIO (spazio confinato): impresa qualificata, procedura, rilevatore gas, preposto, addetto recupero; ATEX se atmosfera esplosiva</t>
  </si>
  <si>
    <t xml:space="preserve">ADR (cisterna/colli per pericolosi)</t>
  </si>
  <si>
    <t xml:space="preserve">Servizio ad alto margine per condomini che passano dal gasolio al metano/pompa di calore</t>
  </si>
  <si>
    <t xml:space="preserve">Privati, condomini, ristoranti/HACCP, aziende alimentari, enti, barche</t>
  </si>
  <si>
    <t xml:space="preserve">150110* imballaggi contaminati; esche esauste</t>
  </si>
  <si>
    <t xml:space="preserve">L. 82/1994 e DM 274/1997: requisiti tecnico-professionali e responsabile tecnico per disinfezione, disinfestazione, derattizzazione e sanificazione (iscrizione Registro imprese per le attività)</t>
  </si>
  <si>
    <t xml:space="preserve">Solo prodotti autorizzati (biocidi Reg. UE 528/2012 o PMC DPR 392/1998, con n. di registrazione in scheda); scheda di intervento con prodotto, dose, aree; per clienti alimentari (Reg. CE 852/2004 HACCP): piano di monitoraggio, planimetria postazioni, report periodici</t>
  </si>
  <si>
    <t xml:space="preserve">D.Lgs 81/08 rischio chimico, schede di sicurezza, DPI</t>
  </si>
  <si>
    <t xml:space="preserve">Trasporto prodotti in quantità limitate (verificare esenzioni ADR)</t>
  </si>
  <si>
    <t xml:space="preserve">Rodenticidi anticoagulanti: solo operatori professionali e in erogatori chiusi secondo l'autorizzazione del prodotto</t>
  </si>
  <si>
    <t xml:space="preserve">Condomini, enti, aziende, capannoni</t>
  </si>
  <si>
    <t xml:space="preserve">Guano: rifiuto da smaltire (codice da classificare)</t>
  </si>
  <si>
    <t xml:space="preserve">L. 157/1992 tutela fauna: vietato uccidere o catturare; ammessi solo sistemi incruenti (reti, aghi, dissuasori)</t>
  </si>
  <si>
    <t xml:space="preserve">Relazione con sistema installato; rispetto ordinanze comunali sui colombi</t>
  </si>
  <si>
    <t xml:space="preserve">D.Lgs 81/08 rischio biologico (guano) e lavori in quota (Titolo IV): PLE con patentino, DPI anticaduta, ponteggi con PiMUS</t>
  </si>
  <si>
    <t xml:space="preserve">Abbinare pulizia/sanificazione del guano</t>
  </si>
  <si>
    <t xml:space="preserve">Ristoranti, mense, hotel, industrie alimentari</t>
  </si>
  <si>
    <t xml:space="preserve">Grassi/filtri: da classificare</t>
  </si>
  <si>
    <t xml:space="preserve">Nessuna autorizzazione specifica; iscrizione attività pulizia L. 82/1994</t>
  </si>
  <si>
    <t xml:space="preserve">Rapporto di intervento con foto prima/dopo (serve al cliente per HACCP Reg. CE 852/2004 e per prevenzione incendi DM 3/9/2021 – controlli e manutenzione)</t>
  </si>
  <si>
    <t xml:space="preserve">D.Lgs 81/08 (lavori in quota, prodotti chimici)</t>
  </si>
  <si>
    <t xml:space="preserve">Periodicità consigliata semestrale/trimestrale in base all'uso: base per contratto annuo</t>
  </si>
  <si>
    <t xml:space="preserve">Uffici, hotel, strutture sanitarie, barche</t>
  </si>
  <si>
    <t xml:space="preserve">Da classificare</t>
  </si>
  <si>
    <t xml:space="preserve">Nessuna specifica</t>
  </si>
  <si>
    <t xml:space="preserve">Accordo Stato-Regioni 7/2/2013 (igiene impianti trattamento aria): ispezione, pulizia, verbale; Linee guida Legionella 2015</t>
  </si>
  <si>
    <t xml:space="preserve">D.Lgs 81/08 rischio biologico</t>
  </si>
  <si>
    <t xml:space="preserve">Strutture ricettive/sanitarie hanno obbligo di valutazione rischio Legionella: forte leva commerciale</t>
  </si>
  <si>
    <t xml:space="preserve">Privati, condomini, ristoranti/pizzerie</t>
  </si>
  <si>
    <t xml:space="preserve">Fuliggine: da classificare</t>
  </si>
  <si>
    <t xml:space="preserve">Nessuna autorizzazione ambientale; se si interviene sull'impianto: abilitazione DM 37/2008</t>
  </si>
  <si>
    <t xml:space="preserve">Rapporto di controllo secondo UNI 10847; annotazione sul libretto di impianto (DPR 74/2013)</t>
  </si>
  <si>
    <t xml:space="preserve">D.Lgs 81/08 lavori in quota su tetti (linee vita, DPI anticaduta)</t>
  </si>
  <si>
    <t xml:space="preserve">Forni a legna/pizzerie: pulizia periodica richiesta anche dalle assicurazioni</t>
  </si>
  <si>
    <t xml:space="preserve">Condomini, hotel, ristoranti, aziende alimentari, piscine</t>
  </si>
  <si>
    <t xml:space="preserve">Analisi da laboratorio accreditato ACCREDIA</t>
  </si>
  <si>
    <t xml:space="preserve">D.Lgs 18/2023 (acque destinate al consumo umano); per HACCP: autocontrollo; Linee guida Legionella 2015 per strutture a rischio</t>
  </si>
  <si>
    <t xml:space="preserve">Proporlo insieme a cappe e pest control ai clienti alimentari</t>
  </si>
  <si>
    <t xml:space="preserve">Condomini, Comuni, negozi</t>
  </si>
  <si>
    <t xml:space="preserve">Acque di lavaggio e residui: rifiuto</t>
  </si>
  <si>
    <t xml:space="preserve">Nessuna specifica; su edifici vincolati: autorizzazione Soprintendenza (D.Lgs 42/2004)</t>
  </si>
  <si>
    <t xml:space="preserve">Acque di lavaggio non scaricabili in fognatura bianca: raccolta e smaltimento con FIR; permesso suolo pubblico</t>
  </si>
  <si>
    <t xml:space="preserve">D.Lgs 81/08 lavori in quota: PLE (patentino Accordo Stato-Regioni 2012), ponteggi con PiMUS</t>
  </si>
  <si>
    <t xml:space="preserve">Cantieri navali, marina, armatori, porti turistici</t>
  </si>
  <si>
    <t xml:space="preserve">130403* oli di sentina; 160708*; 200304 acque nere</t>
  </si>
  <si>
    <t xml:space="preserve">Albo cat. 4 / 5; autorizzazione ad operare in porto (Capitaneria/Autorità portuale/concessionario)</t>
  </si>
  <si>
    <t xml:space="preserve">D.Lgs 197/2021 (impianti portuali di raccolta rifiuti delle navi); FIR; ricevuta di conferimento per l'imbarcazione</t>
  </si>
  <si>
    <t xml:space="preserve">D.Lgs 81/08; DPR 177/2011 per interni serbatoi</t>
  </si>
  <si>
    <t xml:space="preserve">ADR per oli di sentina</t>
  </si>
  <si>
    <t xml:space="preserve">Pacchetto nautica: serbatoi + derattizzazione + canalizzazioni aria</t>
  </si>
  <si>
    <t xml:space="preserve">Aziende, cantieri, enti</t>
  </si>
  <si>
    <t xml:space="preserve">Nessuna autorizzazione obbligatoria; per consulenza ADR serve il certificato di consulente ADR</t>
  </si>
  <si>
    <t xml:space="preserve">Supporto a RENTRI, MUD, registro, classificazione rifiuti, pratiche terre e rocce, piani amianto</t>
  </si>
  <si>
    <t xml:space="preserve">Vendere come servizio aggiuntivo 'pratiche comprese' (già scritto sul sito)</t>
  </si>
  <si>
    <t xml:space="preserve">Privati, condomini, agenzie immobiliari</t>
  </si>
  <si>
    <t xml:space="preserve">APE: certificatore energetico abilitato (DPR 75/2013, D.Lgs 192/2005) e invio al catasto APE regionale Liguria; termografia: operatore certificato UNI EN ISO 9712 consigliato</t>
  </si>
  <si>
    <t xml:space="preserve">APE registrato; rapporto termografico</t>
  </si>
  <si>
    <t xml:space="preserve">Verificare chi in azienda ha l'abilitazione: se nessuno, togliere dal modulo del sito o appoggiarsi a un tecnico esterno</t>
  </si>
  <si>
    <t xml:space="preserve">Iscrizione Albo Nazionale Gestori Ambientali – n. MI03807</t>
  </si>
  <si>
    <t xml:space="preserve">Sezione regionale Lombardia (sede legale Via Fieno 3, Milano) – fonte: provvedimenti in Desktop\claude servizi ecologici\autorizzazioni\$AUTORIZZAZIONI</t>
  </si>
  <si>
    <t xml:space="preserve">Categoria</t>
  </si>
  <si>
    <t xml:space="preserve">Classe</t>
  </si>
  <si>
    <t xml:space="preserve">Cosa consente</t>
  </si>
  <si>
    <t xml:space="preserve">Inizio validità</t>
  </si>
  <si>
    <t xml:space="preserve">Fine validità</t>
  </si>
  <si>
    <t xml:space="preserve">Giorni alla scadenza</t>
  </si>
  <si>
    <t xml:space="preserve">Stato</t>
  </si>
  <si>
    <t xml:space="preserve">Responsabile tecnico</t>
  </si>
  <si>
    <t xml:space="preserve">Provvedimento / file</t>
  </si>
  <si>
    <t xml:space="preserve">Servizi collegati</t>
  </si>
  <si>
    <t xml:space="preserve">F – popolazione servita &lt; 5.000 ab.</t>
  </si>
  <si>
    <t xml:space="preserve">Raccolta e trasporto rifiuti urbani</t>
  </si>
  <si>
    <t xml:space="preserve">Arecco Bruna</t>
  </si>
  <si>
    <t xml:space="preserve">Prot. 26489/2022 del 28/02/2022 – AUT MI03807 DEL 14042022 CAT 1F.pdf</t>
  </si>
  <si>
    <t xml:space="preserve">Microraccolta, ingombranti, rifiuti urbani</t>
  </si>
  <si>
    <t xml:space="preserve">D – da 6.000 a &lt; 15.000 t/anno</t>
  </si>
  <si>
    <t xml:space="preserve">Raccolta e trasporto rifiuti speciali NON pericolosi (cassoni e cisterne)</t>
  </si>
  <si>
    <t xml:space="preserve">Rinnovo prot. 169389/2026 del 24/06/2026 – MI03807_PR_2026_169389_rinnovo cat 4.pdf</t>
  </si>
  <si>
    <t xml:space="preserve">Autospurgo, cassoni, inerti, bagni chimici, rifiuti non pericolosi</t>
  </si>
  <si>
    <t xml:space="preserve">5</t>
  </si>
  <si>
    <t xml:space="preserve">E – da 3.000 a &lt; 6.000 t/anno</t>
  </si>
  <si>
    <t xml:space="preserve">Raccolta e trasporto rifiuti speciali PERICOLOSI</t>
  </si>
  <si>
    <t xml:space="preserve">Prot. 125876/2024 del 19/11/2024 – AUT MI03807 DEL 16012025 CAT 5E.pdf</t>
  </si>
  <si>
    <t xml:space="preserve">Rifiuti pericolosi, amianto, oli, cisterne, sentine</t>
  </si>
  <si>
    <t xml:space="preserve">8</t>
  </si>
  <si>
    <t xml:space="preserve">C</t>
  </si>
  <si>
    <t xml:space="preserve">Intermediazione e commercio di rifiuti senza detenzione</t>
  </si>
  <si>
    <t xml:space="preserve">Sciutto Chiara (affiancamento)</t>
  </si>
  <si>
    <t xml:space="preserve">Cartella 'AUTORIZZAZIONE CAT. 8 C DEL 13 10 2026 SCADE IL13 10 2031' (PDF scansione: date dal nome cartella)</t>
  </si>
  <si>
    <t xml:space="preserve">Smaltimenti affidati a terzi, consulenza</t>
  </si>
  <si>
    <t xml:space="preserve">9</t>
  </si>
  <si>
    <t xml:space="preserve">E</t>
  </si>
  <si>
    <t xml:space="preserve">Bonifica di siti</t>
  </si>
  <si>
    <t xml:space="preserve">Arecco Bruna / Sciutto Chiara</t>
  </si>
  <si>
    <t xml:space="preserve">Prot. 26488/2022 del 28/02/2022 – AUT MI03807 DEL 14042022 CAT 9E.pdf</t>
  </si>
  <si>
    <t xml:space="preserve">Bonifiche ambientali, discariche abusive</t>
  </si>
  <si>
    <t xml:space="preserve">10B</t>
  </si>
  <si>
    <t xml:space="preserve">Bonifica di beni contenenti amianto (materiali friabili e altri)</t>
  </si>
  <si>
    <t xml:space="preserve">Prot. 125877/2024 del 19/11/2024 – AUT MI03807 DEL 16012025 CAT10BC.pdf</t>
  </si>
  <si>
    <t xml:space="preserve">Rimozione amianto – eternit</t>
  </si>
  <si>
    <t xml:space="preserve">2-bis</t>
  </si>
  <si>
    <t xml:space="preserve">Trasporto in conto proprio dei propri rifiuti</t>
  </si>
  <si>
    <t xml:space="preserve">Prot. 109294/2021 del 15/09/2021 – AUT MI03807 DEL 31012022 CAT 2BIS CONTO PROPRIO.pdf</t>
  </si>
  <si>
    <t xml:space="preserve">Rifiuti prodotti dall'azienda (manutenzioni)</t>
  </si>
  <si>
    <t xml:space="preserve">• Legale rappresentante: Arecco Bruna (amministratore unico) – 12 addetti dichiarati all'Albo (istanza 10/06/2026).</t>
  </si>
  <si>
    <t xml:space="preserve">• Istanze 2026 già presentate: inserimento codici CER cat. 5 (10/06), geolocalizzazione HB186JC (15/06), cancellazione mezzo (17/06), rinnovo cat. 4 e 8 (accolto 18/06/2026).</t>
  </si>
  <si>
    <t xml:space="preserve">• ATTENZIONE: cat. 1F e 9E scadono il 14/04/2027 → preparare la domanda di rinnovo (in genere va presentata prima della scadenza, con fideiussione aggiornata).</t>
  </si>
  <si>
    <t xml:space="preserve">• Prima di accettare un lavoro controllare che il codice EER e la targa del mezzo siano sul provvedimento della categoria giusta (4 = non pericolosi, 5 = pericolosi).</t>
  </si>
  <si>
    <t xml:space="preserve">• Cat. 10 e 5: per l'amianto servono entrambe (bonifica 10B + trasporto 5).</t>
  </si>
  <si>
    <t xml:space="preserve">Obblighi che valgono per tutta l'azienda</t>
  </si>
  <si>
    <t xml:space="preserve">Scadenziario: compilare le colonne gialle</t>
  </si>
  <si>
    <t xml:space="preserve">Ambito</t>
  </si>
  <si>
    <t xml:space="preserve">Obbligo</t>
  </si>
  <si>
    <t xml:space="preserve">Riferimento</t>
  </si>
  <si>
    <t xml:space="preserve">Periodicità / termine</t>
  </si>
  <si>
    <t xml:space="preserve">Scadenza (compilare)</t>
  </si>
  <si>
    <t xml:space="preserve">Albo Gestori</t>
  </si>
  <si>
    <t xml:space="preserve">Iscrizione cat. 4/5 (e 8, 9, 10A/10B se svolte) con elenco mezzi e codici EER aggiornati; responsabile tecnico</t>
  </si>
  <si>
    <t xml:space="preserve">D.Lgs 152/06 art. 212; DM 120/2014</t>
  </si>
  <si>
    <t xml:space="preserve">Rinnovo ogni 5 anni; diritto annuale entro 30 aprile; variazioni mezzi/EER prima di usarli</t>
  </si>
  <si>
    <t xml:space="preserve">Arecco Bruna (RT) – prossima: cat. 1F e 9E</t>
  </si>
  <si>
    <t xml:space="preserve">RENTRI</t>
  </si>
  <si>
    <t xml:space="preserve">Iscrizione, registro cronologico digitale, FIR digitale (dal 13/02/2026 solo digitale per gli iscritti; da trasportatore saper gestire anche i FIR cartacei dei produttori non iscritti)</t>
  </si>
  <si>
    <t xml:space="preserve">DM 59/2023; art. 188-bis e 193 D.Lgs 152/06</t>
  </si>
  <si>
    <t xml:space="preserve">Diritto annuale entro 30 aprile; annotazioni registro entro 10 giorni</t>
  </si>
  <si>
    <t xml:space="preserve">MUD</t>
  </si>
  <si>
    <t xml:space="preserve">Dichiarazione annuale rifiuti trasportati/prodotti</t>
  </si>
  <si>
    <t xml:space="preserve">L. 70/1994</t>
  </si>
  <si>
    <t xml:space="preserve">Annuale (normalmente 30 aprile)</t>
  </si>
  <si>
    <t xml:space="preserve">ADR</t>
  </si>
  <si>
    <t xml:space="preserve">Consulente ADR nominato, relazione annuale, patentini ADR autisti, equipaggiamento mezzi</t>
  </si>
  <si>
    <t xml:space="preserve">ADR / D.Lgs 35/2010</t>
  </si>
  <si>
    <t xml:space="preserve">Relazione annuale; patentino ogni 5 anni</t>
  </si>
  <si>
    <t xml:space="preserve">Sicurezza</t>
  </si>
  <si>
    <t xml:space="preserve">DVR aggiornato (rischio biologico, chimico, amianto, spazi confinati, quota), RSPP, RLS, medico competente, formazione Accordo Stato-Regioni</t>
  </si>
  <si>
    <t xml:space="preserve">Formazione: aggiornamento ogni 5 anni; visite secondo protocollo sanitario</t>
  </si>
  <si>
    <t xml:space="preserve">Spazi confinati</t>
  </si>
  <si>
    <t xml:space="preserve">Qualificazione impresa, procedura, formazione specifica e addestramento, attrezzature (rilevatori, tripode)</t>
  </si>
  <si>
    <t xml:space="preserve">DPR 177/2011</t>
  </si>
  <si>
    <t xml:space="preserve">Addestramento periodico</t>
  </si>
  <si>
    <t xml:space="preserve">Mezzi</t>
  </si>
  <si>
    <t xml:space="preserve">Revisioni, cronotachigrafo, CQC e patenti C/CE autisti, assicurazioni, iscrizione mezzi all'Albo</t>
  </si>
  <si>
    <t xml:space="preserve">Codice della strada; Reg. UE 165/2014</t>
  </si>
  <si>
    <t xml:space="preserve">Revisione annuale mezzi pesanti; CQC ogni 5 anni</t>
  </si>
  <si>
    <t xml:space="preserve">Disinfestazione</t>
  </si>
  <si>
    <t xml:space="preserve">Requisiti tecnico-professionali e responsabile tecnico per disinfestazione/derattizzazione/sanificazione</t>
  </si>
  <si>
    <t xml:space="preserve">L. 82/1994; DM 274/1997</t>
  </si>
  <si>
    <t xml:space="preserve">Mantenere i requisiti; comunicare variazioni al Registro imprese</t>
  </si>
  <si>
    <t xml:space="preserve">DURC / appalti</t>
  </si>
  <si>
    <t xml:space="preserve">Regolarità contributiva; per enti pubblici requisiti di gara</t>
  </si>
  <si>
    <t xml:space="preserve">D.Lgs 36/2023 (Codice appalti)</t>
  </si>
  <si>
    <t xml:space="preserve">DURC validità 120 giorni</t>
  </si>
  <si>
    <t xml:space="preserve">Privacy contatti</t>
  </si>
  <si>
    <t xml:space="preserve">I contatti PgCasa/telefonate/moduli sono dati personali: informativa, uso solo per il preventivo richiesto, consenso separato per offerte promozionali, conservazione limitata</t>
  </si>
  <si>
    <t xml:space="preserve">Reg. UE 679/2016 (GDPR)</t>
  </si>
  <si>
    <t xml:space="preserve">Revisione periodica del Registro (cancellare contatti non clienti dopo il periodo stabilito)</t>
  </si>
  <si>
    <t xml:space="preserve">Qualità</t>
  </si>
  <si>
    <t xml:space="preserve">Certificazione ISO 9001 (indicata sul sito)</t>
  </si>
  <si>
    <t xml:space="preserve">UNI EN ISO 9001</t>
  </si>
  <si>
    <t xml:space="preserve">Audit annuale; rinnovo triennale</t>
  </si>
  <si>
    <t xml:space="preserve">Pacchetti per tipo di cliente</t>
  </si>
  <si>
    <t xml:space="preserve">Proposta commerciale: il 'perché conviene' è l'obbligo di legge che il pacchetto risolve</t>
  </si>
  <si>
    <t xml:space="preserve">Pacchetto</t>
  </si>
  <si>
    <t xml:space="preserve">Servizi inclusi</t>
  </si>
  <si>
    <t xml:space="preserve">Frequenza</t>
  </si>
  <si>
    <t xml:space="preserve">Documenti che riceve il cliente</t>
  </si>
  <si>
    <t xml:space="preserve">Obbligo / problema che risolve</t>
  </si>
  <si>
    <t xml:space="preserve">Prezzi di listino 2025-26 (vendita, IVA esclusa, zona SV)</t>
  </si>
  <si>
    <t xml:space="preserve">Note commerciali</t>
  </si>
  <si>
    <t xml:space="preserve">CASA SERENA</t>
  </si>
  <si>
    <t xml:space="preserve">Spurgo fossa biologica/pozzetti + videoispezione di controllo + 1 disinfestazione insetti o derattizzazione</t>
  </si>
  <si>
    <t xml:space="preserve">Annuale</t>
  </si>
  <si>
    <t xml:space="preserve">FIR dello spurgo, rapporto videoispezione, scheda intervento con prodotti autorizzati</t>
  </si>
  <si>
    <t xml:space="preserve">Fossa biologica da svuotare periodicamente (regolamenti comunali/ASL); smaltimento tracciato dei fanghi</t>
  </si>
  <si>
    <t xml:space="preserve">Pulizia fossa biologica 220 € (max 1 h) + smaltimento fanghi 0,16 €/kg liquidi; videoispezione furgone 100 €/h (min 3 h) + relazione 50 €; disinfestazione parti comuni 155 €</t>
  </si>
  <si>
    <t xml:space="preserve">Dai contatti PgCasa: metà spurghi, metà insetti → pacchetto su misura per i privati di SV e IM</t>
  </si>
  <si>
    <t xml:space="preserve">CONDOMINIO PROGRAMMATO</t>
  </si>
  <si>
    <t xml:space="preserve">Spurgo colonne e pozzetti, derattizzazione trimestrale, videoispezione, allontanamento volatili, cassone per sgomberi cantine</t>
  </si>
  <si>
    <t xml:space="preserve">Contratto annuo</t>
  </si>
  <si>
    <t xml:space="preserve">Report unico annuale per l'assemblea, FIR, schede interventi, relazione videoispezione</t>
  </si>
  <si>
    <t xml:space="preserve">Igiene parti comuni, responsabilità dell'amministratore, documenti pronti per assicurazione</t>
  </si>
  <si>
    <t xml:space="preserve">Derattizzazione parti comuni 160 € (max 4 erogatori, 3 passaggi); disinf.+derattiz. 200 € (min 10 condomini, 3 passaggi); spurgo 220 €/intervento; pulizia rete 120 €/h</t>
  </si>
  <si>
    <t xml:space="preserve">Agganciare gli amministratori: un contratto = molti stabili</t>
  </si>
  <si>
    <t xml:space="preserve">HACCP COMPLETO</t>
  </si>
  <si>
    <t xml:space="preserve">Ristorazione / Alimentare</t>
  </si>
  <si>
    <t xml:space="preserve">Pest control HACCP (monitoraggio mensile), pulizia degrassatore, pulizia cappe (semestrale), controllo acque potabili</t>
  </si>
  <si>
    <t xml:space="preserve">Mensile / semestrale</t>
  </si>
  <si>
    <t xml:space="preserve">Piano di monitoraggio con planimetria esche, report periodici, rapporto cappe con foto, analisi acqua, FIR</t>
  </si>
  <si>
    <t xml:space="preserve">Reg. CE 852/2004 (HACCP), prevenzione incendi cappe (DM 3/9/2021), D.Lgs 18/2023 acque</t>
  </si>
  <si>
    <t xml:space="preserve">Analisi acqua potabile D.Lgs 18/2023 180 € (con Legionella 250 €); canne fumarie/cappe attività 450 € (max 3 h); spurgo degrassatore 220 €; derattizzazione a contratto da valutare</t>
  </si>
  <si>
    <t xml:space="preserve">Il cliente supera i controlli ASL con i nostri documenti</t>
  </si>
  <si>
    <t xml:space="preserve">AZIENDA IN REGOLA</t>
  </si>
  <si>
    <t xml:space="preserve">Azienda / Industria</t>
  </si>
  <si>
    <t xml:space="preserve">Ritiri rifiuti programmati (microraccolta), classificazione e analisi, supporto RENTRI/FIR digitale e MUD, pulizia cisterne</t>
  </si>
  <si>
    <t xml:space="preserve">Mensile / a chiamata</t>
  </si>
  <si>
    <t xml:space="preserve">FIR digitali, registro, analisi di caratterizzazione, promemoria MUD</t>
  </si>
  <si>
    <t xml:space="preserve">D.Lgs 152/06 e RENTRI (FIR digitale dal 13/02/2026), deposito temporaneo art. 185-bis</t>
  </si>
  <si>
    <t xml:space="preserve">Smaltimento a €/kg da listino Rifiuti (es. 150110* 1,36 €/kg m.f. 200 €; 160107* 1,36 €/kg); analisi caratterizzazione solido 530 € / liquido 450 €</t>
  </si>
  <si>
    <t xml:space="preserve">Leva: 'pensiamo noi alle pratiche' (già promesso sul sito)</t>
  </si>
  <si>
    <t xml:space="preserve">CANTIERE CHIAVI IN MANO</t>
  </si>
  <si>
    <t xml:space="preserve">Impresa edile / Cantiere</t>
  </si>
  <si>
    <t xml:space="preserve">Cassoni scarrabili, trasporto inerti a V.A.L., bagni chimici, rimozione amianto, gestione terre e rocce</t>
  </si>
  <si>
    <t xml:space="preserve">Per durata cantiere</t>
  </si>
  <si>
    <t xml:space="preserve">FIR, omologhe, piano di lavoro amianto, documentazione terre e rocce DPR 120/2017</t>
  </si>
  <si>
    <t xml:space="preserve">Codici EER corretti, soglia 50 t con analisi, piano amianto ASL 30 gg, bagni obbligatori in cantiere</t>
  </si>
  <si>
    <t xml:space="preserve">Scarrabile piccolo 110–160 €/viaggio secondo zona; noleggio cassone 3 €/g o 60 €/mese; 170904 16 €/t m.f. 50 €; amianto lastre da 17 €/m2 (100 m2) a 11 €/m2 (1000 m2) + piano di lavoro 250 €</t>
  </si>
  <si>
    <t xml:space="preserve">Filiera interna fino all'impianto V.A.L.: prezzo competitivo</t>
  </si>
  <si>
    <t xml:space="preserve">ENTE PUBBLICO</t>
  </si>
  <si>
    <t xml:space="preserve">Spurgo reti e caditoie, videoispezioni e mappature, bonifica discariche abusive, allontanamento volatili, derattizzazione</t>
  </si>
  <si>
    <t xml:space="preserve">Appalto annuo / a chiamata</t>
  </si>
  <si>
    <t xml:space="preserve">Relazioni tecniche, mappature, FIR, certificazioni</t>
  </si>
  <si>
    <t xml:space="preserve">Manutenzione reti, igiene pubblica, rimozione rifiuti abbandonati (art. 192 D.Lgs 152/06)</t>
  </si>
  <si>
    <t xml:space="preserve">Ispezione TV con canal jet 150 €/h (min 3 h); pulizia rete 120 €/h; relazione 50 €; su appalto: prezzi di gara</t>
  </si>
  <si>
    <t xml:space="preserve">Partecipare a gare e MePA</t>
  </si>
  <si>
    <t xml:space="preserve">Svuotamento serbatoi acque nere/grigie e sentine, pulizia tubazioni, derattizzazione imbarcazioni, pulizia canalizzazioni aria</t>
  </si>
  <si>
    <t xml:space="preserve">Stagionale / a chiamata</t>
  </si>
  <si>
    <t xml:space="preserve">FIR / ricevuta conferimento, rapporto intervento</t>
  </si>
  <si>
    <t xml:space="preserve">D.Lgs 197/2021 rifiuti delle navi, igiene impianti aria</t>
  </si>
  <si>
    <t xml:space="preserve">Cassa gasolio e sentina 1.900 €; casse acque grigie/nere 1.500 €; gas-free 130 €/cassa; min. 4 ore</t>
  </si>
  <si>
    <t xml:space="preserve">Accordi con marina e cantieri navali</t>
  </si>
  <si>
    <t xml:space="preserve">PRONTO INTERVENTO 24H</t>
  </si>
  <si>
    <t xml:space="preserve">Tutti</t>
  </si>
  <si>
    <t xml:space="preserve">Spurgo urgente, disostruzione, allagamenti, infestazioni urgenti</t>
  </si>
  <si>
    <t xml:space="preserve">A chiamata</t>
  </si>
  <si>
    <t xml:space="preserve">FIR, rapporto intervento</t>
  </si>
  <si>
    <t xml:space="preserve">Emergenze igienico-sanitarie</t>
  </si>
  <si>
    <t xml:space="preserve">Festivo/notturno +50%, sabato +30% sulle tariffe spurghi</t>
  </si>
  <si>
    <t xml:space="preserve">Tariffa con diritto di chiamata notturno/festivo</t>
  </si>
  <si>
    <t xml:space="preserve">Motivi lavoro non preso</t>
  </si>
  <si>
    <t xml:space="preserve">Usati dal menù a tendina del Registro – aggiungere in fondo</t>
  </si>
  <si>
    <t xml:space="preserve">Descrizione</t>
  </si>
  <si>
    <t xml:space="preserve">Il cliente ha scelto un concorrente più economico</t>
  </si>
  <si>
    <t xml:space="preserve">Trasferta non conveniente</t>
  </si>
  <si>
    <t xml:space="preserve">Richiesta per un servizio che non facciamo</t>
  </si>
  <si>
    <t xml:space="preserve">Non risponde a telefono/mail dopo 2-3 tentativi</t>
  </si>
  <si>
    <t xml:space="preserve">Il cliente voleva un intervento prima della nostra disponibilità</t>
  </si>
  <si>
    <t xml:space="preserve">Es. serve camion piccolo, strada non accessibile</t>
  </si>
  <si>
    <t xml:space="preserve">Il cliente ha risolto da solo o con altri</t>
  </si>
  <si>
    <t xml:space="preserve">Nessuna intenzione reale di acquisto</t>
  </si>
  <si>
    <t xml:space="preserve">Es. codice EER non autorizzato, manca analisi, oltre 50 t senza analisi</t>
  </si>
  <si>
    <t xml:space="preserve">Non conveniente, rischio, cliente insolvente</t>
  </si>
  <si>
    <t xml:space="preserve">Stesso cliente già a registro</t>
  </si>
  <si>
    <t xml:space="preserve">PRESO</t>
  </si>
  <si>
    <t xml:space="preserve">NON PRESO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</si>
</sst>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.00&quot; €&quot;;\-#,##0.00&quot; €&quot;;\-"/>
    <numFmt numFmtId="167" formatCode="0%"/>
    <numFmt numFmtId="168" formatCode="#,##0&quot; €&quot;;\-#,##0&quot; €&quot;;\-"/>
    <numFmt numFmtId="169" formatCode="0.00%"/>
    <numFmt numFmtId="170" formatCode="dd/mm/yyyy"/>
    <numFmt numFmtId="171" formatCode="0.0"/>
    <numFmt numFmtId="172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13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13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130"/>
        <bgColor rgb="FF333300"/>
      </patternFill>
    </fill>
    <fill>
      <patternFill patternType="solid">
        <fgColor rgb="FFE3EFE6"/>
        <bgColor rgb="FFC6EFCE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51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fgColor rgb="FFFFF9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E3EF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D6"/>
      <rgbColor rgb="FFE3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1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22.3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</row>
    <row r="12" customFormat="false" ht="15" hidden="false" customHeight="false" outlineLevel="0" collapsed="false">
      <c r="A12" s="4"/>
      <c r="B12" s="5"/>
      <c r="C12" s="5" t="s">
        <v>26</v>
      </c>
    </row>
    <row r="13" customFormat="false" ht="15" hidden="false" customHeight="false" outlineLevel="0" collapsed="false">
      <c r="A13" s="4" t="s">
        <v>27</v>
      </c>
      <c r="B13" s="5" t="s">
        <v>28</v>
      </c>
      <c r="C13" s="5"/>
    </row>
    <row r="14" customFormat="false" ht="22.35" hidden="false" customHeight="false" outlineLevel="0" collapsed="false">
      <c r="A14" s="4" t="s">
        <v>29</v>
      </c>
      <c r="B14" s="5" t="s">
        <v>30</v>
      </c>
      <c r="C14" s="5"/>
    </row>
    <row r="15" customFormat="false" ht="22.35" hidden="false" customHeight="false" outlineLevel="0" collapsed="false">
      <c r="A15" s="4" t="s">
        <v>31</v>
      </c>
      <c r="B15" s="5" t="s">
        <v>32</v>
      </c>
      <c r="C15" s="5"/>
    </row>
    <row r="16" customFormat="false" ht="22.35" hidden="false" customHeight="false" outlineLevel="0" collapsed="false">
      <c r="A16" s="4" t="s">
        <v>33</v>
      </c>
      <c r="B16" s="5" t="s">
        <v>34</v>
      </c>
      <c r="C16" s="5"/>
    </row>
    <row r="17" customFormat="false" ht="22.35" hidden="false" customHeight="false" outlineLevel="0" collapsed="false">
      <c r="A17" s="4" t="s">
        <v>35</v>
      </c>
      <c r="B17" s="5" t="s">
        <v>36</v>
      </c>
      <c r="C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6" t="s">
        <v>39</v>
      </c>
      <c r="B4" s="7" t="n">
        <f aca="false">COUNTA(Registro!$D$5:$D$804)</f>
        <v>184</v>
      </c>
    </row>
    <row r="5" customFormat="false" ht="15" hidden="false" customHeight="false" outlineLevel="0" collapsed="false">
      <c r="A5" s="6" t="s">
        <v>40</v>
      </c>
      <c r="B5" s="7" t="n">
        <f aca="false">COUNTIF(Registro!$M$5:$M$804,"PRESO")</f>
        <v>0</v>
      </c>
    </row>
    <row r="6" customFormat="false" ht="15" hidden="false" customHeight="false" outlineLevel="0" collapsed="false">
      <c r="A6" s="6" t="s">
        <v>41</v>
      </c>
      <c r="B6" s="7" t="n">
        <f aca="false">COUNTIF(Registro!$M$5:$M$804,"NON PRESO")</f>
        <v>0</v>
      </c>
    </row>
    <row r="7" customFormat="false" ht="15" hidden="false" customHeight="false" outlineLevel="0" collapsed="false">
      <c r="A7" s="6" t="s">
        <v>42</v>
      </c>
      <c r="B7" s="7" t="n">
        <f aca="false">B4-B5-B6</f>
        <v>184</v>
      </c>
    </row>
    <row r="8" customFormat="false" ht="15" hidden="false" customHeight="false" outlineLevel="0" collapsed="false">
      <c r="A8" s="6" t="s">
        <v>43</v>
      </c>
      <c r="B8" s="8" t="n">
        <f aca="false">IFERROR(B5/(B5+B6),0)</f>
        <v>0</v>
      </c>
    </row>
    <row r="9" customFormat="false" ht="15" hidden="false" customHeight="false" outlineLevel="0" collapsed="false">
      <c r="A9" s="6" t="s">
        <v>44</v>
      </c>
      <c r="B9" s="7" t="n">
        <f aca="false">COUNTIF(Registro!$B$5:$B$804,"Italiaonline")+COUNTIF(Registro!$B$5:$B$804,"PgCasa (Italiaonline)")</f>
        <v>56</v>
      </c>
    </row>
    <row r="10" customFormat="false" ht="15" hidden="false" customHeight="false" outlineLevel="0" collapsed="false">
      <c r="A10" s="6" t="s">
        <v>45</v>
      </c>
      <c r="B10" s="8" t="n">
        <f aca="false">IFERROR(B9/B4,0)</f>
        <v>0.304347826086957</v>
      </c>
    </row>
    <row r="11" customFormat="false" ht="15" hidden="false" customHeight="false" outlineLevel="0" collapsed="false">
      <c r="A11" s="6" t="s">
        <v>46</v>
      </c>
      <c r="B11" s="9" t="n">
        <f aca="false">SUM(Registro!$Q$5:$Q$804)</f>
        <v>123</v>
      </c>
    </row>
    <row r="12" customFormat="false" ht="15" hidden="false" customHeight="false" outlineLevel="0" collapsed="false">
      <c r="A12" s="6" t="s">
        <v>47</v>
      </c>
      <c r="B12" s="9" t="n">
        <f aca="false">IFERROR(B11/B5,0)</f>
        <v>0</v>
      </c>
    </row>
    <row r="13" customFormat="false" ht="15" hidden="false" customHeight="false" outlineLevel="0" collapsed="false">
      <c r="A13" s="6" t="s">
        <v>48</v>
      </c>
      <c r="B13" s="9" t="n">
        <f aca="false">SUM(Registro!$P$5:$P$804)</f>
        <v>0</v>
      </c>
    </row>
    <row r="16" customFormat="false" ht="15" hidden="false" customHeight="false" outlineLevel="0" collapsed="false">
      <c r="A16" s="10" t="s">
        <v>49</v>
      </c>
    </row>
    <row r="17" customFormat="false" ht="35.05" hidden="false" customHeight="false" outlineLevel="0" collapsed="false">
      <c r="A17" s="11" t="s">
        <v>50</v>
      </c>
      <c r="B17" s="11" t="s">
        <v>51</v>
      </c>
      <c r="C17" s="11" t="s">
        <v>52</v>
      </c>
      <c r="D17" s="11" t="s">
        <v>53</v>
      </c>
      <c r="E17" s="11" t="s">
        <v>54</v>
      </c>
      <c r="F17" s="11" t="s">
        <v>55</v>
      </c>
      <c r="G17" s="11" t="s">
        <v>56</v>
      </c>
      <c r="H17" s="11" t="s">
        <v>57</v>
      </c>
    </row>
    <row r="18" customFormat="false" ht="15" hidden="false" customHeight="false" outlineLevel="0" collapsed="false">
      <c r="A18" s="12" t="s">
        <v>58</v>
      </c>
      <c r="B18" s="12" t="n">
        <f aca="false">COUNTIF(Registro!$B$5:$B$804,$A18)</f>
        <v>16</v>
      </c>
      <c r="C18" s="12" t="n">
        <f aca="false">COUNTIFS(Registro!$B$5:$B$804,$A18,Registro!$M$5:$M$804,"PRESO")</f>
        <v>0</v>
      </c>
      <c r="D18" s="12" t="n">
        <f aca="false">COUNTIFS(Registro!$B$5:$B$804,$A18,Registro!$M$5:$M$804,"NON PRESO")</f>
        <v>0</v>
      </c>
      <c r="E18" s="12" t="n">
        <f aca="false">B18-C18-D18</f>
        <v>16</v>
      </c>
      <c r="F18" s="13" t="n">
        <f aca="false">IFERROR(C18/(C18+D18),0)</f>
        <v>0</v>
      </c>
      <c r="G18" s="14" t="n">
        <f aca="false">SUMIF(Registro!$B$5:$B$804,$A18,Registro!$Q$5:$Q$804)</f>
        <v>123</v>
      </c>
      <c r="H18" s="14" t="n">
        <f aca="false">SUMIFS(Registro!$P$5:$P$804,Registro!$B$5:$B$804,$A18,Registro!$M$5:$M$804,"PRESO")</f>
        <v>0</v>
      </c>
    </row>
    <row r="19" customFormat="false" ht="15" hidden="false" customHeight="false" outlineLevel="0" collapsed="false">
      <c r="A19" s="12" t="s">
        <v>59</v>
      </c>
      <c r="B19" s="12" t="n">
        <f aca="false">COUNTIF(Registro!$B$5:$B$804,$A19)</f>
        <v>40</v>
      </c>
      <c r="C19" s="12" t="n">
        <f aca="false">COUNTIFS(Registro!$B$5:$B$804,$A19,Registro!$M$5:$M$804,"PRESO")</f>
        <v>0</v>
      </c>
      <c r="D19" s="12" t="n">
        <f aca="false">COUNTIFS(Registro!$B$5:$B$804,$A19,Registro!$M$5:$M$804,"NON PRESO")</f>
        <v>0</v>
      </c>
      <c r="E19" s="12" t="n">
        <f aca="false">B19-C19-D19</f>
        <v>40</v>
      </c>
      <c r="F19" s="13" t="n">
        <f aca="false">IFERROR(C19/(C19+D19),0)</f>
        <v>0</v>
      </c>
      <c r="G19" s="14" t="n">
        <f aca="false">SUMIF(Registro!$B$5:$B$804,$A19,Registro!$Q$5:$Q$804)</f>
        <v>0</v>
      </c>
      <c r="H19" s="14" t="n">
        <f aca="false">SUMIFS(Registro!$P$5:$P$804,Registro!$B$5:$B$804,$A19,Registro!$M$5:$M$804,"PRESO")</f>
        <v>0</v>
      </c>
    </row>
    <row r="20" customFormat="false" ht="15" hidden="false" customHeight="false" outlineLevel="0" collapsed="false">
      <c r="A20" s="12" t="s">
        <v>60</v>
      </c>
      <c r="B20" s="12" t="n">
        <f aca="false">COUNTIF(Registro!$B$5:$B$804,$A20)</f>
        <v>37</v>
      </c>
      <c r="C20" s="12" t="n">
        <f aca="false">COUNTIFS(Registro!$B$5:$B$804,$A20,Registro!$M$5:$M$804,"PRESO")</f>
        <v>0</v>
      </c>
      <c r="D20" s="12" t="n">
        <f aca="false">COUNTIFS(Registro!$B$5:$B$804,$A20,Registro!$M$5:$M$804,"NON PRESO")</f>
        <v>0</v>
      </c>
      <c r="E20" s="12" t="n">
        <f aca="false">B20-C20-D20</f>
        <v>37</v>
      </c>
      <c r="F20" s="13" t="n">
        <f aca="false">IFERROR(C20/(C20+D20),0)</f>
        <v>0</v>
      </c>
      <c r="G20" s="14" t="n">
        <f aca="false">SUMIF(Registro!$B$5:$B$804,$A20,Registro!$Q$5:$Q$804)</f>
        <v>0</v>
      </c>
      <c r="H20" s="14" t="n">
        <f aca="false">SUMIFS(Registro!$P$5:$P$804,Registro!$B$5:$B$804,$A20,Registro!$M$5:$M$804,"PRESO")</f>
        <v>0</v>
      </c>
    </row>
    <row r="21" customFormat="false" ht="15" hidden="false" customHeight="false" outlineLevel="0" collapsed="false">
      <c r="A21" s="12" t="s">
        <v>61</v>
      </c>
      <c r="B21" s="12" t="n">
        <f aca="false">COUNTIF(Registro!$B$5:$B$804,$A21)</f>
        <v>83</v>
      </c>
      <c r="C21" s="12" t="n">
        <f aca="false">COUNTIFS(Registro!$B$5:$B$804,$A21,Registro!$M$5:$M$804,"PRESO")</f>
        <v>0</v>
      </c>
      <c r="D21" s="12" t="n">
        <f aca="false">COUNTIFS(Registro!$B$5:$B$804,$A21,Registro!$M$5:$M$804,"NON PRESO")</f>
        <v>0</v>
      </c>
      <c r="E21" s="12" t="n">
        <f aca="false">B21-C21-D21</f>
        <v>83</v>
      </c>
      <c r="F21" s="13" t="n">
        <f aca="false">IFERROR(C21/(C21+D21),0)</f>
        <v>0</v>
      </c>
      <c r="G21" s="14" t="n">
        <f aca="false">SUMIF(Registro!$B$5:$B$804,$A21,Registro!$Q$5:$Q$804)</f>
        <v>0</v>
      </c>
      <c r="H21" s="14" t="n">
        <f aca="false">SUMIFS(Registro!$P$5:$P$804,Registro!$B$5:$B$804,$A21,Registro!$M$5:$M$804,"PRESO")</f>
        <v>0</v>
      </c>
    </row>
    <row r="22" customFormat="false" ht="15" hidden="false" customHeight="false" outlineLevel="0" collapsed="false">
      <c r="A22" s="12" t="s">
        <v>62</v>
      </c>
      <c r="B22" s="12" t="n">
        <f aca="false">COUNTIF(Registro!$B$5:$B$804,$A22)</f>
        <v>1</v>
      </c>
      <c r="C22" s="12" t="n">
        <f aca="false">COUNTIFS(Registro!$B$5:$B$804,$A22,Registro!$M$5:$M$804,"PRESO")</f>
        <v>0</v>
      </c>
      <c r="D22" s="12" t="n">
        <f aca="false">COUNTIFS(Registro!$B$5:$B$804,$A22,Registro!$M$5:$M$804,"NON PRESO")</f>
        <v>0</v>
      </c>
      <c r="E22" s="12" t="n">
        <f aca="false">B22-C22-D22</f>
        <v>1</v>
      </c>
      <c r="F22" s="13" t="n">
        <f aca="false">IFERROR(C22/(C22+D22),0)</f>
        <v>0</v>
      </c>
      <c r="G22" s="14" t="n">
        <f aca="false">SUMIF(Registro!$B$5:$B$804,$A22,Registro!$Q$5:$Q$804)</f>
        <v>0</v>
      </c>
      <c r="H22" s="14" t="n">
        <f aca="false">SUMIFS(Registro!$P$5:$P$804,Registro!$B$5:$B$804,$A22,Registro!$M$5:$M$804,"PRESO")</f>
        <v>0</v>
      </c>
    </row>
    <row r="23" customFormat="false" ht="15" hidden="false" customHeight="false" outlineLevel="0" collapsed="false">
      <c r="A23" s="12" t="s">
        <v>63</v>
      </c>
      <c r="B23" s="12" t="n">
        <f aca="false">COUNTIF(Registro!$B$5:$B$804,$A23)</f>
        <v>2</v>
      </c>
      <c r="C23" s="12" t="n">
        <f aca="false">COUNTIFS(Registro!$B$5:$B$804,$A23,Registro!$M$5:$M$804,"PRESO")</f>
        <v>0</v>
      </c>
      <c r="D23" s="12" t="n">
        <f aca="false">COUNTIFS(Registro!$B$5:$B$804,$A23,Registro!$M$5:$M$804,"NON PRESO")</f>
        <v>0</v>
      </c>
      <c r="E23" s="12" t="n">
        <f aca="false">B23-C23-D23</f>
        <v>2</v>
      </c>
      <c r="F23" s="13" t="n">
        <f aca="false">IFERROR(C23/(C23+D23),0)</f>
        <v>0</v>
      </c>
      <c r="G23" s="14" t="n">
        <f aca="false">SUMIF(Registro!$B$5:$B$804,$A23,Registro!$Q$5:$Q$804)</f>
        <v>0</v>
      </c>
      <c r="H23" s="14" t="n">
        <f aca="false">SUMIFS(Registro!$P$5:$P$804,Registro!$B$5:$B$804,$A23,Registro!$M$5:$M$804,"PRESO")</f>
        <v>0</v>
      </c>
    </row>
    <row r="24" customFormat="false" ht="15" hidden="false" customHeight="false" outlineLevel="0" collapsed="false">
      <c r="A24" s="12" t="s">
        <v>64</v>
      </c>
      <c r="B24" s="12" t="n">
        <f aca="false">COUNTIF(Registro!$B$5:$B$804,$A24)</f>
        <v>1</v>
      </c>
      <c r="C24" s="12" t="n">
        <f aca="false">COUNTIFS(Registro!$B$5:$B$804,$A24,Registro!$M$5:$M$804,"PRESO")</f>
        <v>0</v>
      </c>
      <c r="D24" s="12" t="n">
        <f aca="false">COUNTIFS(Registro!$B$5:$B$804,$A24,Registro!$M$5:$M$804,"NON PRESO")</f>
        <v>0</v>
      </c>
      <c r="E24" s="12" t="n">
        <f aca="false">B24-C24-D24</f>
        <v>1</v>
      </c>
      <c r="F24" s="13" t="n">
        <f aca="false">IFERROR(C24/(C24+D24),0)</f>
        <v>0</v>
      </c>
      <c r="G24" s="14" t="n">
        <f aca="false">SUMIF(Registro!$B$5:$B$804,$A24,Registro!$Q$5:$Q$804)</f>
        <v>0</v>
      </c>
      <c r="H24" s="14" t="n">
        <f aca="false">SUMIFS(Registro!$P$5:$P$804,Registro!$B$5:$B$804,$A24,Registro!$M$5:$M$804,"PRESO")</f>
        <v>0</v>
      </c>
    </row>
    <row r="25" customFormat="false" ht="15" hidden="false" customHeight="false" outlineLevel="0" collapsed="false">
      <c r="A25" s="12" t="s">
        <v>65</v>
      </c>
      <c r="B25" s="12" t="n">
        <f aca="false">COUNTIF(Registro!$B$5:$B$804,$A25)</f>
        <v>1</v>
      </c>
      <c r="C25" s="12" t="n">
        <f aca="false">COUNTIFS(Registro!$B$5:$B$804,$A25,Registro!$M$5:$M$804,"PRESO")</f>
        <v>0</v>
      </c>
      <c r="D25" s="12" t="n">
        <f aca="false">COUNTIFS(Registro!$B$5:$B$804,$A25,Registro!$M$5:$M$804,"NON PRESO")</f>
        <v>0</v>
      </c>
      <c r="E25" s="12" t="n">
        <f aca="false">B25-C25-D25</f>
        <v>1</v>
      </c>
      <c r="F25" s="13" t="n">
        <f aca="false">IFERROR(C25/(C25+D25),0)</f>
        <v>0</v>
      </c>
      <c r="G25" s="14" t="n">
        <f aca="false">SUMIF(Registro!$B$5:$B$804,$A25,Registro!$Q$5:$Q$804)</f>
        <v>0</v>
      </c>
      <c r="H25" s="14" t="n">
        <f aca="false">SUMIFS(Registro!$P$5:$P$804,Registro!$B$5:$B$804,$A25,Registro!$M$5:$M$804,"PRESO")</f>
        <v>0</v>
      </c>
    </row>
    <row r="26" customFormat="false" ht="15" hidden="false" customHeight="false" outlineLevel="0" collapsed="false">
      <c r="A26" s="12" t="s">
        <v>66</v>
      </c>
      <c r="B26" s="12" t="n">
        <f aca="false">COUNTIF(Registro!$B$5:$B$804,$A26)</f>
        <v>1</v>
      </c>
      <c r="C26" s="12" t="n">
        <f aca="false">COUNTIFS(Registro!$B$5:$B$804,$A26,Registro!$M$5:$M$804,"PRESO")</f>
        <v>0</v>
      </c>
      <c r="D26" s="12" t="n">
        <f aca="false">COUNTIFS(Registro!$B$5:$B$804,$A26,Registro!$M$5:$M$804,"NON PRESO")</f>
        <v>0</v>
      </c>
      <c r="E26" s="12" t="n">
        <f aca="false">B26-C26-D26</f>
        <v>1</v>
      </c>
      <c r="F26" s="13" t="n">
        <f aca="false">IFERROR(C26/(C26+D26),0)</f>
        <v>0</v>
      </c>
      <c r="G26" s="14" t="n">
        <f aca="false">SUMIF(Registro!$B$5:$B$804,$A26,Registro!$Q$5:$Q$804)</f>
        <v>0</v>
      </c>
      <c r="H26" s="14" t="n">
        <f aca="false">SUMIFS(Registro!$P$5:$P$804,Registro!$B$5:$B$804,$A26,Registro!$M$5:$M$804,"PRESO")</f>
        <v>0</v>
      </c>
    </row>
    <row r="27" customFormat="false" ht="15" hidden="false" customHeight="false" outlineLevel="0" collapsed="false">
      <c r="A27" s="12" t="s">
        <v>67</v>
      </c>
      <c r="B27" s="12" t="n">
        <f aca="false">COUNTIF(Registro!$B$5:$B$804,$A27)</f>
        <v>1</v>
      </c>
      <c r="C27" s="12" t="n">
        <f aca="false">COUNTIFS(Registro!$B$5:$B$804,$A27,Registro!$M$5:$M$804,"PRESO")</f>
        <v>0</v>
      </c>
      <c r="D27" s="12" t="n">
        <f aca="false">COUNTIFS(Registro!$B$5:$B$804,$A27,Registro!$M$5:$M$804,"NON PRESO")</f>
        <v>0</v>
      </c>
      <c r="E27" s="12" t="n">
        <f aca="false">B27-C27-D27</f>
        <v>1</v>
      </c>
      <c r="F27" s="13" t="n">
        <f aca="false">IFERROR(C27/(C27+D27),0)</f>
        <v>0</v>
      </c>
      <c r="G27" s="14" t="n">
        <f aca="false">SUMIF(Registro!$B$5:$B$804,$A27,Registro!$Q$5:$Q$804)</f>
        <v>0</v>
      </c>
      <c r="H27" s="14" t="n">
        <f aca="false">SUMIFS(Registro!$P$5:$P$804,Registro!$B$5:$B$804,$A27,Registro!$M$5:$M$804,"PRESO")</f>
        <v>0</v>
      </c>
    </row>
    <row r="28" customFormat="false" ht="15" hidden="false" customHeight="false" outlineLevel="0" collapsed="false">
      <c r="A28" s="12" t="s">
        <v>68</v>
      </c>
      <c r="B28" s="12" t="n">
        <f aca="false">COUNTIF(Registro!$B$5:$B$804,$A28)</f>
        <v>1</v>
      </c>
      <c r="C28" s="12" t="n">
        <f aca="false">COUNTIFS(Registro!$B$5:$B$804,$A28,Registro!$M$5:$M$804,"PRESO")</f>
        <v>0</v>
      </c>
      <c r="D28" s="12" t="n">
        <f aca="false">COUNTIFS(Registro!$B$5:$B$804,$A28,Registro!$M$5:$M$804,"NON PRESO")</f>
        <v>0</v>
      </c>
      <c r="E28" s="12" t="n">
        <f aca="false">B28-C28-D28</f>
        <v>1</v>
      </c>
      <c r="F28" s="13" t="n">
        <f aca="false">IFERROR(C28/(C28+D28),0)</f>
        <v>0</v>
      </c>
      <c r="G28" s="14" t="n">
        <f aca="false">SUMIF(Registro!$B$5:$B$804,$A28,Registro!$Q$5:$Q$804)</f>
        <v>0</v>
      </c>
      <c r="H28" s="14" t="n">
        <f aca="false">SUMIFS(Registro!$P$5:$P$804,Registro!$B$5:$B$804,$A28,Registro!$M$5:$M$804,"PRESO")</f>
        <v>0</v>
      </c>
    </row>
    <row r="29" customFormat="false" ht="15" hidden="false" customHeight="false" outlineLevel="0" collapsed="false">
      <c r="A29" s="15" t="s">
        <v>69</v>
      </c>
      <c r="B29" s="15" t="n">
        <f aca="false">SUM(B18:B28)</f>
        <v>184</v>
      </c>
      <c r="C29" s="15" t="n">
        <f aca="false">SUM(C18:C28)</f>
        <v>0</v>
      </c>
      <c r="D29" s="15" t="n">
        <f aca="false">SUM(D18:D28)</f>
        <v>0</v>
      </c>
      <c r="E29" s="15" t="n">
        <f aca="false">SUM(E18:E28)</f>
        <v>184</v>
      </c>
      <c r="F29" s="16" t="n">
        <f aca="false">IFERROR(C29/(C29+D29),0)</f>
        <v>0</v>
      </c>
      <c r="G29" s="17" t="n">
        <f aca="false">SUM(G18:G28)</f>
        <v>123</v>
      </c>
      <c r="H29" s="17" t="n">
        <f aca="false">SUM(H18:H28)</f>
        <v>0</v>
      </c>
    </row>
    <row r="31" customFormat="false" ht="15" hidden="false" customHeight="false" outlineLevel="0" collapsed="false">
      <c r="A31" s="10" t="s">
        <v>70</v>
      </c>
    </row>
    <row r="32" customFormat="false" ht="35.05" hidden="false" customHeight="false" outlineLevel="0" collapsed="false">
      <c r="A32" s="11" t="s">
        <v>71</v>
      </c>
      <c r="B32" s="11" t="s">
        <v>51</v>
      </c>
      <c r="C32" s="11" t="s">
        <v>52</v>
      </c>
      <c r="D32" s="11" t="s">
        <v>53</v>
      </c>
      <c r="E32" s="11" t="s">
        <v>54</v>
      </c>
      <c r="F32" s="11" t="s">
        <v>55</v>
      </c>
      <c r="G32" s="11" t="s">
        <v>56</v>
      </c>
      <c r="H32" s="11" t="s">
        <v>57</v>
      </c>
    </row>
    <row r="33" customFormat="false" ht="15" hidden="false" customHeight="false" outlineLevel="0" collapsed="false">
      <c r="A33" s="12" t="s">
        <v>72</v>
      </c>
      <c r="B33" s="12" t="n">
        <f aca="false">COUNTIF(Registro!$J$5:$J$804,$A33)</f>
        <v>30</v>
      </c>
      <c r="C33" s="12" t="n">
        <f aca="false">COUNTIFS(Registro!$J$5:$J$804,$A33,Registro!$M$5:$M$804,"PRESO")</f>
        <v>0</v>
      </c>
      <c r="D33" s="12" t="n">
        <f aca="false">COUNTIFS(Registro!$J$5:$J$804,$A33,Registro!$M$5:$M$804,"NON PRESO")</f>
        <v>0</v>
      </c>
      <c r="E33" s="12" t="n">
        <f aca="false">B33-C33-D33</f>
        <v>30</v>
      </c>
      <c r="F33" s="13" t="n">
        <f aca="false">IFERROR(C33/(C33+D33),0)</f>
        <v>0</v>
      </c>
      <c r="G33" s="14" t="n">
        <f aca="false">SUMIF(Registro!$J$5:$J$804,$A33,Registro!$Q$5:$Q$804)</f>
        <v>60</v>
      </c>
      <c r="H33" s="14" t="n">
        <f aca="false">SUMIFS(Registro!$P$5:$P$804,Registro!$J$5:$J$804,$A33,Registro!$M$5:$M$804,"PRESO")</f>
        <v>0</v>
      </c>
    </row>
    <row r="34" customFormat="false" ht="15" hidden="false" customHeight="false" outlineLevel="0" collapsed="false">
      <c r="A34" s="12" t="s">
        <v>73</v>
      </c>
      <c r="B34" s="12" t="n">
        <f aca="false">COUNTIF(Registro!$J$5:$J$804,$A34)</f>
        <v>38</v>
      </c>
      <c r="C34" s="12" t="n">
        <f aca="false">COUNTIFS(Registro!$J$5:$J$804,$A34,Registro!$M$5:$M$804,"PRESO")</f>
        <v>0</v>
      </c>
      <c r="D34" s="12" t="n">
        <f aca="false">COUNTIFS(Registro!$J$5:$J$804,$A34,Registro!$M$5:$M$804,"NON PRESO")</f>
        <v>0</v>
      </c>
      <c r="E34" s="12" t="n">
        <f aca="false">B34-C34-D34</f>
        <v>38</v>
      </c>
      <c r="F34" s="13" t="n">
        <f aca="false">IFERROR(C34/(C34+D34),0)</f>
        <v>0</v>
      </c>
      <c r="G34" s="14" t="n">
        <f aca="false">SUMIF(Registro!$J$5:$J$804,$A34,Registro!$Q$5:$Q$804)</f>
        <v>0</v>
      </c>
      <c r="H34" s="14" t="n">
        <f aca="false">SUMIFS(Registro!$P$5:$P$804,Registro!$J$5:$J$804,$A34,Registro!$M$5:$M$804,"PRESO")</f>
        <v>0</v>
      </c>
    </row>
    <row r="35" customFormat="false" ht="15" hidden="false" customHeight="false" outlineLevel="0" collapsed="false">
      <c r="A35" s="12" t="s">
        <v>74</v>
      </c>
      <c r="B35" s="12" t="n">
        <f aca="false">COUNTIF(Registro!$J$5:$J$804,$A35)</f>
        <v>38</v>
      </c>
      <c r="C35" s="12" t="n">
        <f aca="false">COUNTIFS(Registro!$J$5:$J$804,$A35,Registro!$M$5:$M$804,"PRESO")</f>
        <v>0</v>
      </c>
      <c r="D35" s="12" t="n">
        <f aca="false">COUNTIFS(Registro!$J$5:$J$804,$A35,Registro!$M$5:$M$804,"NON PRESO")</f>
        <v>0</v>
      </c>
      <c r="E35" s="12" t="n">
        <f aca="false">B35-C35-D35</f>
        <v>38</v>
      </c>
      <c r="F35" s="13" t="n">
        <f aca="false">IFERROR(C35/(C35+D35),0)</f>
        <v>0</v>
      </c>
      <c r="G35" s="14" t="n">
        <f aca="false">SUMIF(Registro!$J$5:$J$804,$A35,Registro!$Q$5:$Q$804)</f>
        <v>0</v>
      </c>
      <c r="H35" s="14" t="n">
        <f aca="false">SUMIFS(Registro!$P$5:$P$804,Registro!$J$5:$J$804,$A35,Registro!$M$5:$M$804,"PRESO")</f>
        <v>0</v>
      </c>
    </row>
    <row r="36" customFormat="false" ht="15" hidden="false" customHeight="false" outlineLevel="0" collapsed="false">
      <c r="A36" s="12" t="s">
        <v>75</v>
      </c>
      <c r="B36" s="12" t="n">
        <f aca="false">COUNTIF(Registro!$J$5:$J$804,$A36)</f>
        <v>33</v>
      </c>
      <c r="C36" s="12" t="n">
        <f aca="false">COUNTIFS(Registro!$J$5:$J$804,$A36,Registro!$M$5:$M$804,"PRESO")</f>
        <v>0</v>
      </c>
      <c r="D36" s="12" t="n">
        <f aca="false">COUNTIFS(Registro!$J$5:$J$804,$A36,Registro!$M$5:$M$804,"NON PRESO")</f>
        <v>0</v>
      </c>
      <c r="E36" s="12" t="n">
        <f aca="false">B36-C36-D36</f>
        <v>33</v>
      </c>
      <c r="F36" s="13" t="n">
        <f aca="false">IFERROR(C36/(C36+D36),0)</f>
        <v>0</v>
      </c>
      <c r="G36" s="14" t="n">
        <f aca="false">SUMIF(Registro!$J$5:$J$804,$A36,Registro!$Q$5:$Q$804)</f>
        <v>63</v>
      </c>
      <c r="H36" s="14" t="n">
        <f aca="false">SUMIFS(Registro!$P$5:$P$804,Registro!$J$5:$J$804,$A36,Registro!$M$5:$M$804,"PRESO")</f>
        <v>0</v>
      </c>
    </row>
    <row r="37" customFormat="false" ht="15" hidden="false" customHeight="false" outlineLevel="0" collapsed="false">
      <c r="A37" s="12" t="s">
        <v>76</v>
      </c>
      <c r="B37" s="12" t="n">
        <f aca="false">COUNTIF(Registro!$J$5:$J$804,$A37)</f>
        <v>14</v>
      </c>
      <c r="C37" s="12" t="n">
        <f aca="false">COUNTIFS(Registro!$J$5:$J$804,$A37,Registro!$M$5:$M$804,"PRESO")</f>
        <v>0</v>
      </c>
      <c r="D37" s="12" t="n">
        <f aca="false">COUNTIFS(Registro!$J$5:$J$804,$A37,Registro!$M$5:$M$804,"NON PRESO")</f>
        <v>0</v>
      </c>
      <c r="E37" s="12" t="n">
        <f aca="false">B37-C37-D37</f>
        <v>14</v>
      </c>
      <c r="F37" s="13" t="n">
        <f aca="false">IFERROR(C37/(C37+D37),0)</f>
        <v>0</v>
      </c>
      <c r="G37" s="14" t="n">
        <f aca="false">SUMIF(Registro!$J$5:$J$804,$A37,Registro!$Q$5:$Q$804)</f>
        <v>0</v>
      </c>
      <c r="H37" s="14" t="n">
        <f aca="false">SUMIFS(Registro!$P$5:$P$804,Registro!$J$5:$J$804,$A37,Registro!$M$5:$M$804,"PRESO")</f>
        <v>0</v>
      </c>
    </row>
    <row r="38" customFormat="false" ht="15" hidden="false" customHeight="false" outlineLevel="0" collapsed="false">
      <c r="A38" s="12" t="s">
        <v>77</v>
      </c>
      <c r="B38" s="12" t="n">
        <f aca="false">COUNTIF(Registro!$J$5:$J$804,$A38)</f>
        <v>0</v>
      </c>
      <c r="C38" s="12" t="n">
        <f aca="false">COUNTIFS(Registro!$J$5:$J$804,$A38,Registro!$M$5:$M$804,"PRESO")</f>
        <v>0</v>
      </c>
      <c r="D38" s="12" t="n">
        <f aca="false">COUNTIFS(Registro!$J$5:$J$804,$A38,Registro!$M$5:$M$804,"NON PRESO")</f>
        <v>0</v>
      </c>
      <c r="E38" s="12" t="n">
        <f aca="false">B38-C38-D38</f>
        <v>0</v>
      </c>
      <c r="F38" s="13" t="n">
        <f aca="false">IFERROR(C38/(C38+D38),0)</f>
        <v>0</v>
      </c>
      <c r="G38" s="14" t="n">
        <f aca="false">SUMIF(Registro!$J$5:$J$804,$A38,Registro!$Q$5:$Q$804)</f>
        <v>0</v>
      </c>
      <c r="H38" s="14" t="n">
        <f aca="false">SUMIFS(Registro!$P$5:$P$804,Registro!$J$5:$J$804,$A38,Registro!$M$5:$M$804,"PRESO")</f>
        <v>0</v>
      </c>
    </row>
    <row r="39" customFormat="false" ht="15" hidden="false" customHeight="false" outlineLevel="0" collapsed="false">
      <c r="A39" s="12" t="s">
        <v>78</v>
      </c>
      <c r="B39" s="12" t="n">
        <f aca="false">COUNTIF(Registro!$J$5:$J$804,$A39)</f>
        <v>0</v>
      </c>
      <c r="C39" s="12" t="n">
        <f aca="false">COUNTIFS(Registro!$J$5:$J$804,$A39,Registro!$M$5:$M$804,"PRESO")</f>
        <v>0</v>
      </c>
      <c r="D39" s="12" t="n">
        <f aca="false">COUNTIFS(Registro!$J$5:$J$804,$A39,Registro!$M$5:$M$804,"NON PRESO")</f>
        <v>0</v>
      </c>
      <c r="E39" s="12" t="n">
        <f aca="false">B39-C39-D39</f>
        <v>0</v>
      </c>
      <c r="F39" s="13" t="n">
        <f aca="false">IFERROR(C39/(C39+D39),0)</f>
        <v>0</v>
      </c>
      <c r="G39" s="14" t="n">
        <f aca="false">SUMIF(Registro!$J$5:$J$804,$A39,Registro!$Q$5:$Q$804)</f>
        <v>0</v>
      </c>
      <c r="H39" s="14" t="n">
        <f aca="false">SUMIFS(Registro!$P$5:$P$804,Registro!$J$5:$J$804,$A39,Registro!$M$5:$M$804,"PRESO")</f>
        <v>0</v>
      </c>
    </row>
    <row r="40" customFormat="false" ht="15" hidden="false" customHeight="false" outlineLevel="0" collapsed="false">
      <c r="A40" s="12" t="s">
        <v>79</v>
      </c>
      <c r="B40" s="12" t="n">
        <f aca="false">COUNTIF(Registro!$J$5:$J$804,$A40)</f>
        <v>31</v>
      </c>
      <c r="C40" s="12" t="n">
        <f aca="false">COUNTIFS(Registro!$J$5:$J$804,$A40,Registro!$M$5:$M$804,"PRESO")</f>
        <v>0</v>
      </c>
      <c r="D40" s="12" t="n">
        <f aca="false">COUNTIFS(Registro!$J$5:$J$804,$A40,Registro!$M$5:$M$804,"NON PRESO")</f>
        <v>0</v>
      </c>
      <c r="E40" s="12" t="n">
        <f aca="false">B40-C40-D40</f>
        <v>31</v>
      </c>
      <c r="F40" s="13" t="n">
        <f aca="false">IFERROR(C40/(C40+D40),0)</f>
        <v>0</v>
      </c>
      <c r="G40" s="14" t="n">
        <f aca="false">SUMIF(Registro!$J$5:$J$804,$A40,Registro!$Q$5:$Q$804)</f>
        <v>0</v>
      </c>
      <c r="H40" s="14" t="n">
        <f aca="false">SUMIFS(Registro!$P$5:$P$804,Registro!$J$5:$J$804,$A40,Registro!$M$5:$M$804,"PRESO")</f>
        <v>0</v>
      </c>
    </row>
    <row r="41" customFormat="false" ht="15" hidden="false" customHeight="false" outlineLevel="0" collapsed="false">
      <c r="A41" s="15" t="s">
        <v>69</v>
      </c>
      <c r="B41" s="15" t="n">
        <f aca="false">SUM(B33:B40)</f>
        <v>184</v>
      </c>
      <c r="C41" s="15" t="n">
        <f aca="false">SUM(C33:C40)</f>
        <v>0</v>
      </c>
      <c r="D41" s="15" t="n">
        <f aca="false">SUM(D33:D40)</f>
        <v>0</v>
      </c>
      <c r="E41" s="15" t="n">
        <f aca="false">SUM(E33:E40)</f>
        <v>184</v>
      </c>
      <c r="F41" s="16" t="n">
        <f aca="false">IFERROR(C41/(C41+D41),0)</f>
        <v>0</v>
      </c>
      <c r="G41" s="17" t="n">
        <f aca="false">SUM(G33:G40)</f>
        <v>123</v>
      </c>
      <c r="H41" s="17" t="n">
        <f aca="false">SUM(H33:H40)</f>
        <v>0</v>
      </c>
    </row>
    <row r="43" customFormat="false" ht="15" hidden="false" customHeight="false" outlineLevel="0" collapsed="false">
      <c r="A43" s="10" t="s">
        <v>80</v>
      </c>
    </row>
    <row r="44" customFormat="false" ht="35.05" hidden="false" customHeight="false" outlineLevel="0" collapsed="false">
      <c r="A44" s="11" t="s">
        <v>81</v>
      </c>
      <c r="B44" s="11" t="s">
        <v>51</v>
      </c>
      <c r="C44" s="11" t="s">
        <v>52</v>
      </c>
      <c r="D44" s="11" t="s">
        <v>53</v>
      </c>
      <c r="E44" s="11" t="s">
        <v>54</v>
      </c>
      <c r="F44" s="11" t="s">
        <v>55</v>
      </c>
      <c r="G44" s="11" t="s">
        <v>56</v>
      </c>
      <c r="H44" s="11" t="s">
        <v>57</v>
      </c>
    </row>
    <row r="45" customFormat="false" ht="15" hidden="false" customHeight="false" outlineLevel="0" collapsed="false">
      <c r="A45" s="12" t="s">
        <v>82</v>
      </c>
      <c r="B45" s="12" t="n">
        <f aca="false">COUNTIF(Registro!$K$5:$K$804,$A45)</f>
        <v>19</v>
      </c>
      <c r="C45" s="12" t="n">
        <f aca="false">COUNTIFS(Registro!$K$5:$K$804,$A45,Registro!$M$5:$M$804,"PRESO")</f>
        <v>0</v>
      </c>
      <c r="D45" s="12" t="n">
        <f aca="false">COUNTIFS(Registro!$K$5:$K$804,$A45,Registro!$M$5:$M$804,"NON PRESO")</f>
        <v>0</v>
      </c>
      <c r="E45" s="12" t="n">
        <f aca="false">B45-C45-D45</f>
        <v>19</v>
      </c>
      <c r="F45" s="13" t="n">
        <f aca="false">IFERROR(C45/(C45+D45),0)</f>
        <v>0</v>
      </c>
      <c r="G45" s="14" t="n">
        <f aca="false">SUMIF(Registro!$K$5:$K$804,$A45,Registro!$Q$5:$Q$804)</f>
        <v>60</v>
      </c>
      <c r="H45" s="14" t="n">
        <f aca="false">SUMIFS(Registro!$P$5:$P$804,Registro!$K$5:$K$804,$A45,Registro!$M$5:$M$804,"PRESO")</f>
        <v>0</v>
      </c>
    </row>
    <row r="46" customFormat="false" ht="15" hidden="false" customHeight="false" outlineLevel="0" collapsed="false">
      <c r="A46" s="12" t="s">
        <v>83</v>
      </c>
      <c r="B46" s="12" t="n">
        <f aca="false">COUNTIF(Registro!$K$5:$K$804,$A46)</f>
        <v>4</v>
      </c>
      <c r="C46" s="12" t="n">
        <f aca="false">COUNTIFS(Registro!$K$5:$K$804,$A46,Registro!$M$5:$M$804,"PRESO")</f>
        <v>0</v>
      </c>
      <c r="D46" s="12" t="n">
        <f aca="false">COUNTIFS(Registro!$K$5:$K$804,$A46,Registro!$M$5:$M$804,"NON PRESO")</f>
        <v>0</v>
      </c>
      <c r="E46" s="12" t="n">
        <f aca="false">B46-C46-D46</f>
        <v>4</v>
      </c>
      <c r="F46" s="13" t="n">
        <f aca="false">IFERROR(C46/(C46+D46),0)</f>
        <v>0</v>
      </c>
      <c r="G46" s="14" t="n">
        <f aca="false">SUMIF(Registro!$K$5:$K$804,$A46,Registro!$Q$5:$Q$804)</f>
        <v>0</v>
      </c>
      <c r="H46" s="14" t="n">
        <f aca="false">SUMIFS(Registro!$P$5:$P$804,Registro!$K$5:$K$804,$A46,Registro!$M$5:$M$804,"PRESO")</f>
        <v>0</v>
      </c>
    </row>
    <row r="47" customFormat="false" ht="15" hidden="false" customHeight="false" outlineLevel="0" collapsed="false">
      <c r="A47" s="12" t="s">
        <v>84</v>
      </c>
      <c r="B47" s="12" t="n">
        <f aca="false">COUNTIF(Registro!$K$5:$K$804,$A47)</f>
        <v>4</v>
      </c>
      <c r="C47" s="12" t="n">
        <f aca="false">COUNTIFS(Registro!$K$5:$K$804,$A47,Registro!$M$5:$M$804,"PRESO")</f>
        <v>0</v>
      </c>
      <c r="D47" s="12" t="n">
        <f aca="false">COUNTIFS(Registro!$K$5:$K$804,$A47,Registro!$M$5:$M$804,"NON PRESO")</f>
        <v>0</v>
      </c>
      <c r="E47" s="12" t="n">
        <f aca="false">B47-C47-D47</f>
        <v>4</v>
      </c>
      <c r="F47" s="13" t="n">
        <f aca="false">IFERROR(C47/(C47+D47),0)</f>
        <v>0</v>
      </c>
      <c r="G47" s="14" t="n">
        <f aca="false">SUMIF(Registro!$K$5:$K$804,$A47,Registro!$Q$5:$Q$804)</f>
        <v>0</v>
      </c>
      <c r="H47" s="14" t="n">
        <f aca="false">SUMIFS(Registro!$P$5:$P$804,Registro!$K$5:$K$804,$A47,Registro!$M$5:$M$804,"PRESO")</f>
        <v>0</v>
      </c>
    </row>
    <row r="48" customFormat="false" ht="15" hidden="false" customHeight="false" outlineLevel="0" collapsed="false">
      <c r="A48" s="12" t="s">
        <v>85</v>
      </c>
      <c r="B48" s="12" t="n">
        <f aca="false">COUNTIF(Registro!$K$5:$K$804,$A48)</f>
        <v>3</v>
      </c>
      <c r="C48" s="12" t="n">
        <f aca="false">COUNTIFS(Registro!$K$5:$K$804,$A48,Registro!$M$5:$M$804,"PRESO")</f>
        <v>0</v>
      </c>
      <c r="D48" s="12" t="n">
        <f aca="false">COUNTIFS(Registro!$K$5:$K$804,$A48,Registro!$M$5:$M$804,"NON PRESO")</f>
        <v>0</v>
      </c>
      <c r="E48" s="12" t="n">
        <f aca="false">B48-C48-D48</f>
        <v>3</v>
      </c>
      <c r="F48" s="13" t="n">
        <f aca="false">IFERROR(C48/(C48+D48),0)</f>
        <v>0</v>
      </c>
      <c r="G48" s="14" t="n">
        <f aca="false">SUMIF(Registro!$K$5:$K$804,$A48,Registro!$Q$5:$Q$804)</f>
        <v>0</v>
      </c>
      <c r="H48" s="14" t="n">
        <f aca="false">SUMIFS(Registro!$P$5:$P$804,Registro!$K$5:$K$804,$A48,Registro!$M$5:$M$804,"PRESO")</f>
        <v>0</v>
      </c>
    </row>
    <row r="49" customFormat="false" ht="15" hidden="false" customHeight="false" outlineLevel="0" collapsed="false">
      <c r="A49" s="12" t="s">
        <v>86</v>
      </c>
      <c r="B49" s="12" t="n">
        <f aca="false">COUNTIF(Registro!$K$5:$K$804,$A49)</f>
        <v>0</v>
      </c>
      <c r="C49" s="12" t="n">
        <f aca="false">COUNTIFS(Registro!$K$5:$K$804,$A49,Registro!$M$5:$M$804,"PRESO")</f>
        <v>0</v>
      </c>
      <c r="D49" s="12" t="n">
        <f aca="false">COUNTIFS(Registro!$K$5:$K$804,$A49,Registro!$M$5:$M$804,"NON PRESO")</f>
        <v>0</v>
      </c>
      <c r="E49" s="12" t="n">
        <f aca="false">B49-C49-D49</f>
        <v>0</v>
      </c>
      <c r="F49" s="13" t="n">
        <f aca="false">IFERROR(C49/(C49+D49),0)</f>
        <v>0</v>
      </c>
      <c r="G49" s="14" t="n">
        <f aca="false">SUMIF(Registro!$K$5:$K$804,$A49,Registro!$Q$5:$Q$804)</f>
        <v>0</v>
      </c>
      <c r="H49" s="14" t="n">
        <f aca="false">SUMIFS(Registro!$P$5:$P$804,Registro!$K$5:$K$804,$A49,Registro!$M$5:$M$804,"PRESO")</f>
        <v>0</v>
      </c>
    </row>
    <row r="50" customFormat="false" ht="15" hidden="false" customHeight="false" outlineLevel="0" collapsed="false">
      <c r="A50" s="12" t="s">
        <v>87</v>
      </c>
      <c r="B50" s="12" t="n">
        <f aca="false">COUNTIF(Registro!$K$5:$K$804,$A50)</f>
        <v>38</v>
      </c>
      <c r="C50" s="12" t="n">
        <f aca="false">COUNTIFS(Registro!$K$5:$K$804,$A50,Registro!$M$5:$M$804,"PRESO")</f>
        <v>0</v>
      </c>
      <c r="D50" s="12" t="n">
        <f aca="false">COUNTIFS(Registro!$K$5:$K$804,$A50,Registro!$M$5:$M$804,"NON PRESO")</f>
        <v>0</v>
      </c>
      <c r="E50" s="12" t="n">
        <f aca="false">B50-C50-D50</f>
        <v>38</v>
      </c>
      <c r="F50" s="13" t="n">
        <f aca="false">IFERROR(C50/(C50+D50),0)</f>
        <v>0</v>
      </c>
      <c r="G50" s="14" t="n">
        <f aca="false">SUMIF(Registro!$K$5:$K$804,$A50,Registro!$Q$5:$Q$804)</f>
        <v>0</v>
      </c>
      <c r="H50" s="14" t="n">
        <f aca="false">SUMIFS(Registro!$P$5:$P$804,Registro!$K$5:$K$804,$A50,Registro!$M$5:$M$804,"PRESO")</f>
        <v>0</v>
      </c>
    </row>
    <row r="51" customFormat="false" ht="15" hidden="false" customHeight="false" outlineLevel="0" collapsed="false">
      <c r="A51" s="12" t="s">
        <v>88</v>
      </c>
      <c r="B51" s="12" t="n">
        <f aca="false">COUNTIF(Registro!$K$5:$K$804,$A51)</f>
        <v>0</v>
      </c>
      <c r="C51" s="12" t="n">
        <f aca="false">COUNTIFS(Registro!$K$5:$K$804,$A51,Registro!$M$5:$M$804,"PRESO")</f>
        <v>0</v>
      </c>
      <c r="D51" s="12" t="n">
        <f aca="false">COUNTIFS(Registro!$K$5:$K$804,$A51,Registro!$M$5:$M$804,"NON PRESO")</f>
        <v>0</v>
      </c>
      <c r="E51" s="12" t="n">
        <f aca="false">B51-C51-D51</f>
        <v>0</v>
      </c>
      <c r="F51" s="13" t="n">
        <f aca="false">IFERROR(C51/(C51+D51),0)</f>
        <v>0</v>
      </c>
      <c r="G51" s="14" t="n">
        <f aca="false">SUMIF(Registro!$K$5:$K$804,$A51,Registro!$Q$5:$Q$804)</f>
        <v>0</v>
      </c>
      <c r="H51" s="14" t="n">
        <f aca="false">SUMIFS(Registro!$P$5:$P$804,Registro!$K$5:$K$804,$A51,Registro!$M$5:$M$804,"PRESO")</f>
        <v>0</v>
      </c>
    </row>
    <row r="52" customFormat="false" ht="15" hidden="false" customHeight="false" outlineLevel="0" collapsed="false">
      <c r="A52" s="12" t="s">
        <v>89</v>
      </c>
      <c r="B52" s="12" t="n">
        <f aca="false">COUNTIF(Registro!$K$5:$K$804,$A52)</f>
        <v>0</v>
      </c>
      <c r="C52" s="12" t="n">
        <f aca="false">COUNTIFS(Registro!$K$5:$K$804,$A52,Registro!$M$5:$M$804,"PRESO")</f>
        <v>0</v>
      </c>
      <c r="D52" s="12" t="n">
        <f aca="false">COUNTIFS(Registro!$K$5:$K$804,$A52,Registro!$M$5:$M$804,"NON PRESO")</f>
        <v>0</v>
      </c>
      <c r="E52" s="12" t="n">
        <f aca="false">B52-C52-D52</f>
        <v>0</v>
      </c>
      <c r="F52" s="13" t="n">
        <f aca="false">IFERROR(C52/(C52+D52),0)</f>
        <v>0</v>
      </c>
      <c r="G52" s="14" t="n">
        <f aca="false">SUMIF(Registro!$K$5:$K$804,$A52,Registro!$Q$5:$Q$804)</f>
        <v>0</v>
      </c>
      <c r="H52" s="14" t="n">
        <f aca="false">SUMIFS(Registro!$P$5:$P$804,Registro!$K$5:$K$804,$A52,Registro!$M$5:$M$804,"PRESO")</f>
        <v>0</v>
      </c>
    </row>
    <row r="53" customFormat="false" ht="15" hidden="false" customHeight="false" outlineLevel="0" collapsed="false">
      <c r="A53" s="12" t="s">
        <v>90</v>
      </c>
      <c r="B53" s="12" t="n">
        <f aca="false">COUNTIF(Registro!$K$5:$K$804,$A53)</f>
        <v>0</v>
      </c>
      <c r="C53" s="12" t="n">
        <f aca="false">COUNTIFS(Registro!$K$5:$K$804,$A53,Registro!$M$5:$M$804,"PRESO")</f>
        <v>0</v>
      </c>
      <c r="D53" s="12" t="n">
        <f aca="false">COUNTIFS(Registro!$K$5:$K$804,$A53,Registro!$M$5:$M$804,"NON PRESO")</f>
        <v>0</v>
      </c>
      <c r="E53" s="12" t="n">
        <f aca="false">B53-C53-D53</f>
        <v>0</v>
      </c>
      <c r="F53" s="13" t="n">
        <f aca="false">IFERROR(C53/(C53+D53),0)</f>
        <v>0</v>
      </c>
      <c r="G53" s="14" t="n">
        <f aca="false">SUMIF(Registro!$K$5:$K$804,$A53,Registro!$Q$5:$Q$804)</f>
        <v>0</v>
      </c>
      <c r="H53" s="14" t="n">
        <f aca="false">SUMIFS(Registro!$P$5:$P$804,Registro!$K$5:$K$804,$A53,Registro!$M$5:$M$804,"PRESO")</f>
        <v>0</v>
      </c>
    </row>
    <row r="54" customFormat="false" ht="15" hidden="false" customHeight="false" outlineLevel="0" collapsed="false">
      <c r="A54" s="12" t="s">
        <v>91</v>
      </c>
      <c r="B54" s="12" t="n">
        <f aca="false">COUNTIF(Registro!$K$5:$K$804,$A54)</f>
        <v>0</v>
      </c>
      <c r="C54" s="12" t="n">
        <f aca="false">COUNTIFS(Registro!$K$5:$K$804,$A54,Registro!$M$5:$M$804,"PRESO")</f>
        <v>0</v>
      </c>
      <c r="D54" s="12" t="n">
        <f aca="false">COUNTIFS(Registro!$K$5:$K$804,$A54,Registro!$M$5:$M$804,"NON PRESO")</f>
        <v>0</v>
      </c>
      <c r="E54" s="12" t="n">
        <f aca="false">B54-C54-D54</f>
        <v>0</v>
      </c>
      <c r="F54" s="13" t="n">
        <f aca="false">IFERROR(C54/(C54+D54),0)</f>
        <v>0</v>
      </c>
      <c r="G54" s="14" t="n">
        <f aca="false">SUMIF(Registro!$K$5:$K$804,$A54,Registro!$Q$5:$Q$804)</f>
        <v>0</v>
      </c>
      <c r="H54" s="14" t="n">
        <f aca="false">SUMIFS(Registro!$P$5:$P$804,Registro!$K$5:$K$804,$A54,Registro!$M$5:$M$804,"PRESO")</f>
        <v>0</v>
      </c>
    </row>
    <row r="55" customFormat="false" ht="15" hidden="false" customHeight="false" outlineLevel="0" collapsed="false">
      <c r="A55" s="12" t="s">
        <v>92</v>
      </c>
      <c r="B55" s="12" t="n">
        <f aca="false">COUNTIF(Registro!$K$5:$K$804,$A55)</f>
        <v>3</v>
      </c>
      <c r="C55" s="12" t="n">
        <f aca="false">COUNTIFS(Registro!$K$5:$K$804,$A55,Registro!$M$5:$M$804,"PRESO")</f>
        <v>0</v>
      </c>
      <c r="D55" s="12" t="n">
        <f aca="false">COUNTIFS(Registro!$K$5:$K$804,$A55,Registro!$M$5:$M$804,"NON PRESO")</f>
        <v>0</v>
      </c>
      <c r="E55" s="12" t="n">
        <f aca="false">B55-C55-D55</f>
        <v>3</v>
      </c>
      <c r="F55" s="13" t="n">
        <f aca="false">IFERROR(C55/(C55+D55),0)</f>
        <v>0</v>
      </c>
      <c r="G55" s="14" t="n">
        <f aca="false">SUMIF(Registro!$K$5:$K$804,$A55,Registro!$Q$5:$Q$804)</f>
        <v>0</v>
      </c>
      <c r="H55" s="14" t="n">
        <f aca="false">SUMIFS(Registro!$P$5:$P$804,Registro!$K$5:$K$804,$A55,Registro!$M$5:$M$804,"PRESO")</f>
        <v>0</v>
      </c>
    </row>
    <row r="56" customFormat="false" ht="15" hidden="false" customHeight="false" outlineLevel="0" collapsed="false">
      <c r="A56" s="12" t="s">
        <v>93</v>
      </c>
      <c r="B56" s="12" t="n">
        <f aca="false">COUNTIF(Registro!$K$5:$K$804,$A56)</f>
        <v>35</v>
      </c>
      <c r="C56" s="12" t="n">
        <f aca="false">COUNTIFS(Registro!$K$5:$K$804,$A56,Registro!$M$5:$M$804,"PRESO")</f>
        <v>0</v>
      </c>
      <c r="D56" s="12" t="n">
        <f aca="false">COUNTIFS(Registro!$K$5:$K$804,$A56,Registro!$M$5:$M$804,"NON PRESO")</f>
        <v>0</v>
      </c>
      <c r="E56" s="12" t="n">
        <f aca="false">B56-C56-D56</f>
        <v>35</v>
      </c>
      <c r="F56" s="13" t="n">
        <f aca="false">IFERROR(C56/(C56+D56),0)</f>
        <v>0</v>
      </c>
      <c r="G56" s="14" t="n">
        <f aca="false">SUMIF(Registro!$K$5:$K$804,$A56,Registro!$Q$5:$Q$804)</f>
        <v>0</v>
      </c>
      <c r="H56" s="14" t="n">
        <f aca="false">SUMIFS(Registro!$P$5:$P$804,Registro!$K$5:$K$804,$A56,Registro!$M$5:$M$804,"PRESO")</f>
        <v>0</v>
      </c>
    </row>
    <row r="57" customFormat="false" ht="15" hidden="false" customHeight="false" outlineLevel="0" collapsed="false">
      <c r="A57" s="12" t="s">
        <v>94</v>
      </c>
      <c r="B57" s="12" t="n">
        <f aca="false">COUNTIF(Registro!$K$5:$K$804,$A57)</f>
        <v>0</v>
      </c>
      <c r="C57" s="12" t="n">
        <f aca="false">COUNTIFS(Registro!$K$5:$K$804,$A57,Registro!$M$5:$M$804,"PRESO")</f>
        <v>0</v>
      </c>
      <c r="D57" s="12" t="n">
        <f aca="false">COUNTIFS(Registro!$K$5:$K$804,$A57,Registro!$M$5:$M$804,"NON PRESO")</f>
        <v>0</v>
      </c>
      <c r="E57" s="12" t="n">
        <f aca="false">B57-C57-D57</f>
        <v>0</v>
      </c>
      <c r="F57" s="13" t="n">
        <f aca="false">IFERROR(C57/(C57+D57),0)</f>
        <v>0</v>
      </c>
      <c r="G57" s="14" t="n">
        <f aca="false">SUMIF(Registro!$K$5:$K$804,$A57,Registro!$Q$5:$Q$804)</f>
        <v>0</v>
      </c>
      <c r="H57" s="14" t="n">
        <f aca="false">SUMIFS(Registro!$P$5:$P$804,Registro!$K$5:$K$804,$A57,Registro!$M$5:$M$804,"PRESO")</f>
        <v>0</v>
      </c>
    </row>
    <row r="58" customFormat="false" ht="15" hidden="false" customHeight="false" outlineLevel="0" collapsed="false">
      <c r="A58" s="12" t="s">
        <v>95</v>
      </c>
      <c r="B58" s="12" t="n">
        <f aca="false">COUNTIF(Registro!$K$5:$K$804,$A58)</f>
        <v>28</v>
      </c>
      <c r="C58" s="12" t="n">
        <f aca="false">COUNTIFS(Registro!$K$5:$K$804,$A58,Registro!$M$5:$M$804,"PRESO")</f>
        <v>0</v>
      </c>
      <c r="D58" s="12" t="n">
        <f aca="false">COUNTIFS(Registro!$K$5:$K$804,$A58,Registro!$M$5:$M$804,"NON PRESO")</f>
        <v>0</v>
      </c>
      <c r="E58" s="12" t="n">
        <f aca="false">B58-C58-D58</f>
        <v>28</v>
      </c>
      <c r="F58" s="13" t="n">
        <f aca="false">IFERROR(C58/(C58+D58),0)</f>
        <v>0</v>
      </c>
      <c r="G58" s="14" t="n">
        <f aca="false">SUMIF(Registro!$K$5:$K$804,$A58,Registro!$Q$5:$Q$804)</f>
        <v>58</v>
      </c>
      <c r="H58" s="14" t="n">
        <f aca="false">SUMIFS(Registro!$P$5:$P$804,Registro!$K$5:$K$804,$A58,Registro!$M$5:$M$804,"PRESO")</f>
        <v>0</v>
      </c>
    </row>
    <row r="59" customFormat="false" ht="15" hidden="false" customHeight="false" outlineLevel="0" collapsed="false">
      <c r="A59" s="12" t="s">
        <v>96</v>
      </c>
      <c r="B59" s="12" t="n">
        <f aca="false">COUNTIF(Registro!$K$5:$K$804,$A59)</f>
        <v>5</v>
      </c>
      <c r="C59" s="12" t="n">
        <f aca="false">COUNTIFS(Registro!$K$5:$K$804,$A59,Registro!$M$5:$M$804,"PRESO")</f>
        <v>0</v>
      </c>
      <c r="D59" s="12" t="n">
        <f aca="false">COUNTIFS(Registro!$K$5:$K$804,$A59,Registro!$M$5:$M$804,"NON PRESO")</f>
        <v>0</v>
      </c>
      <c r="E59" s="12" t="n">
        <f aca="false">B59-C59-D59</f>
        <v>5</v>
      </c>
      <c r="F59" s="13" t="n">
        <f aca="false">IFERROR(C59/(C59+D59),0)</f>
        <v>0</v>
      </c>
      <c r="G59" s="14" t="n">
        <f aca="false">SUMIF(Registro!$K$5:$K$804,$A59,Registro!$Q$5:$Q$804)</f>
        <v>5</v>
      </c>
      <c r="H59" s="14" t="n">
        <f aca="false">SUMIFS(Registro!$P$5:$P$804,Registro!$K$5:$K$804,$A59,Registro!$M$5:$M$804,"PRESO")</f>
        <v>0</v>
      </c>
    </row>
    <row r="60" customFormat="false" ht="15" hidden="false" customHeight="false" outlineLevel="0" collapsed="false">
      <c r="A60" s="12" t="s">
        <v>97</v>
      </c>
      <c r="B60" s="12" t="n">
        <f aca="false">COUNTIF(Registro!$K$5:$K$804,$A60)</f>
        <v>0</v>
      </c>
      <c r="C60" s="12" t="n">
        <f aca="false">COUNTIFS(Registro!$K$5:$K$804,$A60,Registro!$M$5:$M$804,"PRESO")</f>
        <v>0</v>
      </c>
      <c r="D60" s="12" t="n">
        <f aca="false">COUNTIFS(Registro!$K$5:$K$804,$A60,Registro!$M$5:$M$804,"NON PRESO")</f>
        <v>0</v>
      </c>
      <c r="E60" s="12" t="n">
        <f aca="false">B60-C60-D60</f>
        <v>0</v>
      </c>
      <c r="F60" s="13" t="n">
        <f aca="false">IFERROR(C60/(C60+D60),0)</f>
        <v>0</v>
      </c>
      <c r="G60" s="14" t="n">
        <f aca="false">SUMIF(Registro!$K$5:$K$804,$A60,Registro!$Q$5:$Q$804)</f>
        <v>0</v>
      </c>
      <c r="H60" s="14" t="n">
        <f aca="false">SUMIFS(Registro!$P$5:$P$804,Registro!$K$5:$K$804,$A60,Registro!$M$5:$M$804,"PRESO")</f>
        <v>0</v>
      </c>
    </row>
    <row r="61" customFormat="false" ht="15" hidden="false" customHeight="false" outlineLevel="0" collapsed="false">
      <c r="A61" s="12" t="s">
        <v>98</v>
      </c>
      <c r="B61" s="12" t="n">
        <f aca="false">COUNTIF(Registro!$K$5:$K$804,$A61)</f>
        <v>0</v>
      </c>
      <c r="C61" s="12" t="n">
        <f aca="false">COUNTIFS(Registro!$K$5:$K$804,$A61,Registro!$M$5:$M$804,"PRESO")</f>
        <v>0</v>
      </c>
      <c r="D61" s="12" t="n">
        <f aca="false">COUNTIFS(Registro!$K$5:$K$804,$A61,Registro!$M$5:$M$804,"NON PRESO")</f>
        <v>0</v>
      </c>
      <c r="E61" s="12" t="n">
        <f aca="false">B61-C61-D61</f>
        <v>0</v>
      </c>
      <c r="F61" s="13" t="n">
        <f aca="false">IFERROR(C61/(C61+D61),0)</f>
        <v>0</v>
      </c>
      <c r="G61" s="14" t="n">
        <f aca="false">SUMIF(Registro!$K$5:$K$804,$A61,Registro!$Q$5:$Q$804)</f>
        <v>0</v>
      </c>
      <c r="H61" s="14" t="n">
        <f aca="false">SUMIFS(Registro!$P$5:$P$804,Registro!$K$5:$K$804,$A61,Registro!$M$5:$M$804,"PRESO")</f>
        <v>0</v>
      </c>
    </row>
    <row r="62" customFormat="false" ht="15" hidden="false" customHeight="false" outlineLevel="0" collapsed="false">
      <c r="A62" s="12" t="s">
        <v>99</v>
      </c>
      <c r="B62" s="12" t="n">
        <f aca="false">COUNTIF(Registro!$K$5:$K$804,$A62)</f>
        <v>14</v>
      </c>
      <c r="C62" s="12" t="n">
        <f aca="false">COUNTIFS(Registro!$K$5:$K$804,$A62,Registro!$M$5:$M$804,"PRESO")</f>
        <v>0</v>
      </c>
      <c r="D62" s="12" t="n">
        <f aca="false">COUNTIFS(Registro!$K$5:$K$804,$A62,Registro!$M$5:$M$804,"NON PRESO")</f>
        <v>0</v>
      </c>
      <c r="E62" s="12" t="n">
        <f aca="false">B62-C62-D62</f>
        <v>14</v>
      </c>
      <c r="F62" s="13" t="n">
        <f aca="false">IFERROR(C62/(C62+D62),0)</f>
        <v>0</v>
      </c>
      <c r="G62" s="14" t="n">
        <f aca="false">SUMIF(Registro!$K$5:$K$804,$A62,Registro!$Q$5:$Q$804)</f>
        <v>0</v>
      </c>
      <c r="H62" s="14" t="n">
        <f aca="false">SUMIFS(Registro!$P$5:$P$804,Registro!$K$5:$K$804,$A62,Registro!$M$5:$M$804,"PRESO")</f>
        <v>0</v>
      </c>
    </row>
    <row r="63" customFormat="false" ht="15" hidden="false" customHeight="false" outlineLevel="0" collapsed="false">
      <c r="A63" s="12" t="s">
        <v>100</v>
      </c>
      <c r="B63" s="12" t="n">
        <f aca="false">COUNTIF(Registro!$K$5:$K$804,$A63)</f>
        <v>0</v>
      </c>
      <c r="C63" s="12" t="n">
        <f aca="false">COUNTIFS(Registro!$K$5:$K$804,$A63,Registro!$M$5:$M$804,"PRESO")</f>
        <v>0</v>
      </c>
      <c r="D63" s="12" t="n">
        <f aca="false">COUNTIFS(Registro!$K$5:$K$804,$A63,Registro!$M$5:$M$804,"NON PRESO")</f>
        <v>0</v>
      </c>
      <c r="E63" s="12" t="n">
        <f aca="false">B63-C63-D63</f>
        <v>0</v>
      </c>
      <c r="F63" s="13" t="n">
        <f aca="false">IFERROR(C63/(C63+D63),0)</f>
        <v>0</v>
      </c>
      <c r="G63" s="14" t="n">
        <f aca="false">SUMIF(Registro!$K$5:$K$804,$A63,Registro!$Q$5:$Q$804)</f>
        <v>0</v>
      </c>
      <c r="H63" s="14" t="n">
        <f aca="false">SUMIFS(Registro!$P$5:$P$804,Registro!$K$5:$K$804,$A63,Registro!$M$5:$M$804,"PRESO")</f>
        <v>0</v>
      </c>
    </row>
    <row r="64" customFormat="false" ht="15" hidden="false" customHeight="false" outlineLevel="0" collapsed="false">
      <c r="A64" s="12" t="s">
        <v>101</v>
      </c>
      <c r="B64" s="12" t="n">
        <f aca="false">COUNTIF(Registro!$K$5:$K$804,$A64)</f>
        <v>0</v>
      </c>
      <c r="C64" s="12" t="n">
        <f aca="false">COUNTIFS(Registro!$K$5:$K$804,$A64,Registro!$M$5:$M$804,"PRESO")</f>
        <v>0</v>
      </c>
      <c r="D64" s="12" t="n">
        <f aca="false">COUNTIFS(Registro!$K$5:$K$804,$A64,Registro!$M$5:$M$804,"NON PRESO")</f>
        <v>0</v>
      </c>
      <c r="E64" s="12" t="n">
        <f aca="false">B64-C64-D64</f>
        <v>0</v>
      </c>
      <c r="F64" s="13" t="n">
        <f aca="false">IFERROR(C64/(C64+D64),0)</f>
        <v>0</v>
      </c>
      <c r="G64" s="14" t="n">
        <f aca="false">SUMIF(Registro!$K$5:$K$804,$A64,Registro!$Q$5:$Q$804)</f>
        <v>0</v>
      </c>
      <c r="H64" s="14" t="n">
        <f aca="false">SUMIFS(Registro!$P$5:$P$804,Registro!$K$5:$K$804,$A64,Registro!$M$5:$M$804,"PRESO")</f>
        <v>0</v>
      </c>
    </row>
    <row r="65" customFormat="false" ht="15" hidden="false" customHeight="false" outlineLevel="0" collapsed="false">
      <c r="A65" s="12" t="s">
        <v>102</v>
      </c>
      <c r="B65" s="12" t="n">
        <f aca="false">COUNTIF(Registro!$K$5:$K$804,$A65)</f>
        <v>0</v>
      </c>
      <c r="C65" s="12" t="n">
        <f aca="false">COUNTIFS(Registro!$K$5:$K$804,$A65,Registro!$M$5:$M$804,"PRESO")</f>
        <v>0</v>
      </c>
      <c r="D65" s="12" t="n">
        <f aca="false">COUNTIFS(Registro!$K$5:$K$804,$A65,Registro!$M$5:$M$804,"NON PRESO")</f>
        <v>0</v>
      </c>
      <c r="E65" s="12" t="n">
        <f aca="false">B65-C65-D65</f>
        <v>0</v>
      </c>
      <c r="F65" s="13" t="n">
        <f aca="false">IFERROR(C65/(C65+D65),0)</f>
        <v>0</v>
      </c>
      <c r="G65" s="14" t="n">
        <f aca="false">SUMIF(Registro!$K$5:$K$804,$A65,Registro!$Q$5:$Q$804)</f>
        <v>0</v>
      </c>
      <c r="H65" s="14" t="n">
        <f aca="false">SUMIFS(Registro!$P$5:$P$804,Registro!$K$5:$K$804,$A65,Registro!$M$5:$M$804,"PRESO")</f>
        <v>0</v>
      </c>
    </row>
    <row r="66" customFormat="false" ht="15" hidden="false" customHeight="false" outlineLevel="0" collapsed="false">
      <c r="A66" s="12" t="s">
        <v>103</v>
      </c>
      <c r="B66" s="12" t="n">
        <f aca="false">COUNTIF(Registro!$K$5:$K$804,$A66)</f>
        <v>0</v>
      </c>
      <c r="C66" s="12" t="n">
        <f aca="false">COUNTIFS(Registro!$K$5:$K$804,$A66,Registro!$M$5:$M$804,"PRESO")</f>
        <v>0</v>
      </c>
      <c r="D66" s="12" t="n">
        <f aca="false">COUNTIFS(Registro!$K$5:$K$804,$A66,Registro!$M$5:$M$804,"NON PRESO")</f>
        <v>0</v>
      </c>
      <c r="E66" s="12" t="n">
        <f aca="false">B66-C66-D66</f>
        <v>0</v>
      </c>
      <c r="F66" s="13" t="n">
        <f aca="false">IFERROR(C66/(C66+D66),0)</f>
        <v>0</v>
      </c>
      <c r="G66" s="14" t="n">
        <f aca="false">SUMIF(Registro!$K$5:$K$804,$A66,Registro!$Q$5:$Q$804)</f>
        <v>0</v>
      </c>
      <c r="H66" s="14" t="n">
        <f aca="false">SUMIFS(Registro!$P$5:$P$804,Registro!$K$5:$K$804,$A66,Registro!$M$5:$M$804,"PRESO")</f>
        <v>0</v>
      </c>
    </row>
    <row r="67" customFormat="false" ht="15" hidden="false" customHeight="false" outlineLevel="0" collapsed="false">
      <c r="A67" s="12" t="s">
        <v>104</v>
      </c>
      <c r="B67" s="12" t="n">
        <f aca="false">COUNTIF(Registro!$K$5:$K$804,$A67)</f>
        <v>0</v>
      </c>
      <c r="C67" s="12" t="n">
        <f aca="false">COUNTIFS(Registro!$K$5:$K$804,$A67,Registro!$M$5:$M$804,"PRESO")</f>
        <v>0</v>
      </c>
      <c r="D67" s="12" t="n">
        <f aca="false">COUNTIFS(Registro!$K$5:$K$804,$A67,Registro!$M$5:$M$804,"NON PRESO")</f>
        <v>0</v>
      </c>
      <c r="E67" s="12" t="n">
        <f aca="false">B67-C67-D67</f>
        <v>0</v>
      </c>
      <c r="F67" s="13" t="n">
        <f aca="false">IFERROR(C67/(C67+D67),0)</f>
        <v>0</v>
      </c>
      <c r="G67" s="14" t="n">
        <f aca="false">SUMIF(Registro!$K$5:$K$804,$A67,Registro!$Q$5:$Q$804)</f>
        <v>0</v>
      </c>
      <c r="H67" s="14" t="n">
        <f aca="false">SUMIFS(Registro!$P$5:$P$804,Registro!$K$5:$K$804,$A67,Registro!$M$5:$M$804,"PRESO")</f>
        <v>0</v>
      </c>
    </row>
    <row r="68" customFormat="false" ht="15" hidden="false" customHeight="false" outlineLevel="0" collapsed="false">
      <c r="A68" s="15" t="s">
        <v>69</v>
      </c>
      <c r="B68" s="15" t="n">
        <f aca="false">SUM(B45:B67)</f>
        <v>153</v>
      </c>
      <c r="C68" s="15" t="n">
        <f aca="false">SUM(C45:C67)</f>
        <v>0</v>
      </c>
      <c r="D68" s="15" t="n">
        <f aca="false">SUM(D45:D67)</f>
        <v>0</v>
      </c>
      <c r="E68" s="15" t="n">
        <f aca="false">SUM(E45:E67)</f>
        <v>153</v>
      </c>
      <c r="F68" s="16" t="n">
        <f aca="false">IFERROR(C68/(C68+D68),0)</f>
        <v>0</v>
      </c>
      <c r="G68" s="17" t="n">
        <f aca="false">SUM(G45:G67)</f>
        <v>123</v>
      </c>
      <c r="H68" s="17" t="n">
        <f aca="false">SUM(H45:H67)</f>
        <v>0</v>
      </c>
    </row>
    <row r="70" customFormat="false" ht="15" hidden="false" customHeight="false" outlineLevel="0" collapsed="false">
      <c r="A70" s="10" t="s">
        <v>105</v>
      </c>
    </row>
    <row r="71" customFormat="false" ht="35.05" hidden="false" customHeight="false" outlineLevel="0" collapsed="false">
      <c r="A71" s="11" t="s">
        <v>106</v>
      </c>
      <c r="B71" s="11" t="s">
        <v>51</v>
      </c>
      <c r="C71" s="11" t="s">
        <v>52</v>
      </c>
      <c r="D71" s="11" t="s">
        <v>53</v>
      </c>
      <c r="E71" s="11" t="s">
        <v>54</v>
      </c>
      <c r="F71" s="11" t="s">
        <v>55</v>
      </c>
      <c r="G71" s="11" t="s">
        <v>56</v>
      </c>
      <c r="H71" s="11" t="s">
        <v>57</v>
      </c>
    </row>
    <row r="72" customFormat="false" ht="15" hidden="false" customHeight="false" outlineLevel="0" collapsed="false">
      <c r="A72" s="12" t="s">
        <v>107</v>
      </c>
      <c r="B72" s="12" t="n">
        <f aca="false">COUNTIF(Registro!$I$5:$I$804,$A72)</f>
        <v>136</v>
      </c>
      <c r="C72" s="12" t="n">
        <f aca="false">COUNTIFS(Registro!$I$5:$I$804,$A72,Registro!$M$5:$M$804,"PRESO")</f>
        <v>0</v>
      </c>
      <c r="D72" s="12" t="n">
        <f aca="false">COUNTIFS(Registro!$I$5:$I$804,$A72,Registro!$M$5:$M$804,"NON PRESO")</f>
        <v>0</v>
      </c>
      <c r="E72" s="12" t="n">
        <f aca="false">B72-C72-D72</f>
        <v>136</v>
      </c>
      <c r="F72" s="13" t="n">
        <f aca="false">IFERROR(C72/(C72+D72),0)</f>
        <v>0</v>
      </c>
      <c r="G72" s="14" t="n">
        <f aca="false">SUMIF(Registro!$I$5:$I$804,$A72,Registro!$Q$5:$Q$804)</f>
        <v>66</v>
      </c>
      <c r="H72" s="14" t="n">
        <f aca="false">SUMIFS(Registro!$P$5:$P$804,Registro!$I$5:$I$804,$A72,Registro!$M$5:$M$804,"PRESO")</f>
        <v>0</v>
      </c>
    </row>
    <row r="73" customFormat="false" ht="15" hidden="false" customHeight="false" outlineLevel="0" collapsed="false">
      <c r="A73" s="12" t="s">
        <v>108</v>
      </c>
      <c r="B73" s="12" t="n">
        <f aca="false">COUNTIF(Registro!$I$5:$I$804,$A73)</f>
        <v>31</v>
      </c>
      <c r="C73" s="12" t="n">
        <f aca="false">COUNTIFS(Registro!$I$5:$I$804,$A73,Registro!$M$5:$M$804,"PRESO")</f>
        <v>0</v>
      </c>
      <c r="D73" s="12" t="n">
        <f aca="false">COUNTIFS(Registro!$I$5:$I$804,$A73,Registro!$M$5:$M$804,"NON PRESO")</f>
        <v>0</v>
      </c>
      <c r="E73" s="12" t="n">
        <f aca="false">B73-C73-D73</f>
        <v>31</v>
      </c>
      <c r="F73" s="13" t="n">
        <f aca="false">IFERROR(C73/(C73+D73),0)</f>
        <v>0</v>
      </c>
      <c r="G73" s="14" t="n">
        <f aca="false">SUMIF(Registro!$I$5:$I$804,$A73,Registro!$Q$5:$Q$804)</f>
        <v>57</v>
      </c>
      <c r="H73" s="14" t="n">
        <f aca="false">SUMIFS(Registro!$P$5:$P$804,Registro!$I$5:$I$804,$A73,Registro!$M$5:$M$804,"PRESO")</f>
        <v>0</v>
      </c>
    </row>
    <row r="74" customFormat="false" ht="15" hidden="false" customHeight="false" outlineLevel="0" collapsed="false">
      <c r="A74" s="12" t="s">
        <v>109</v>
      </c>
      <c r="B74" s="12" t="n">
        <f aca="false">COUNTIF(Registro!$I$5:$I$804,$A74)</f>
        <v>8</v>
      </c>
      <c r="C74" s="12" t="n">
        <f aca="false">COUNTIFS(Registro!$I$5:$I$804,$A74,Registro!$M$5:$M$804,"PRESO")</f>
        <v>0</v>
      </c>
      <c r="D74" s="12" t="n">
        <f aca="false">COUNTIFS(Registro!$I$5:$I$804,$A74,Registro!$M$5:$M$804,"NON PRESO")</f>
        <v>0</v>
      </c>
      <c r="E74" s="12" t="n">
        <f aca="false">B74-C74-D74</f>
        <v>8</v>
      </c>
      <c r="F74" s="13" t="n">
        <f aca="false">IFERROR(C74/(C74+D74),0)</f>
        <v>0</v>
      </c>
      <c r="G74" s="14" t="n">
        <f aca="false">SUMIF(Registro!$I$5:$I$804,$A74,Registro!$Q$5:$Q$804)</f>
        <v>0</v>
      </c>
      <c r="H74" s="14" t="n">
        <f aca="false">SUMIFS(Registro!$P$5:$P$804,Registro!$I$5:$I$804,$A74,Registro!$M$5:$M$804,"PRESO")</f>
        <v>0</v>
      </c>
    </row>
    <row r="75" customFormat="false" ht="15" hidden="false" customHeight="false" outlineLevel="0" collapsed="false">
      <c r="A75" s="12" t="s">
        <v>110</v>
      </c>
      <c r="B75" s="12" t="n">
        <f aca="false">COUNTIF(Registro!$I$5:$I$804,$A75)</f>
        <v>1</v>
      </c>
      <c r="C75" s="12" t="n">
        <f aca="false">COUNTIFS(Registro!$I$5:$I$804,$A75,Registro!$M$5:$M$804,"PRESO")</f>
        <v>0</v>
      </c>
      <c r="D75" s="12" t="n">
        <f aca="false">COUNTIFS(Registro!$I$5:$I$804,$A75,Registro!$M$5:$M$804,"NON PRESO")</f>
        <v>0</v>
      </c>
      <c r="E75" s="12" t="n">
        <f aca="false">B75-C75-D75</f>
        <v>1</v>
      </c>
      <c r="F75" s="13" t="n">
        <f aca="false">IFERROR(C75/(C75+D75),0)</f>
        <v>0</v>
      </c>
      <c r="G75" s="14" t="n">
        <f aca="false">SUMIF(Registro!$I$5:$I$804,$A75,Registro!$Q$5:$Q$804)</f>
        <v>0</v>
      </c>
      <c r="H75" s="14" t="n">
        <f aca="false">SUMIFS(Registro!$P$5:$P$804,Registro!$I$5:$I$804,$A75,Registro!$M$5:$M$804,"PRESO")</f>
        <v>0</v>
      </c>
    </row>
    <row r="76" customFormat="false" ht="15" hidden="false" customHeight="false" outlineLevel="0" collapsed="false">
      <c r="A76" s="12" t="s">
        <v>111</v>
      </c>
      <c r="B76" s="12" t="n">
        <f aca="false">COUNTIF(Registro!$I$5:$I$804,$A76)</f>
        <v>1</v>
      </c>
      <c r="C76" s="12" t="n">
        <f aca="false">COUNTIFS(Registro!$I$5:$I$804,$A76,Registro!$M$5:$M$804,"PRESO")</f>
        <v>0</v>
      </c>
      <c r="D76" s="12" t="n">
        <f aca="false">COUNTIFS(Registro!$I$5:$I$804,$A76,Registro!$M$5:$M$804,"NON PRESO")</f>
        <v>0</v>
      </c>
      <c r="E76" s="12" t="n">
        <f aca="false">B76-C76-D76</f>
        <v>1</v>
      </c>
      <c r="F76" s="13" t="n">
        <f aca="false">IFERROR(C76/(C76+D76),0)</f>
        <v>0</v>
      </c>
      <c r="G76" s="14" t="n">
        <f aca="false">SUMIF(Registro!$I$5:$I$804,$A76,Registro!$Q$5:$Q$804)</f>
        <v>0</v>
      </c>
      <c r="H76" s="14" t="n">
        <f aca="false">SUMIFS(Registro!$P$5:$P$804,Registro!$I$5:$I$804,$A76,Registro!$M$5:$M$804,"PRESO")</f>
        <v>0</v>
      </c>
    </row>
    <row r="77" customFormat="false" ht="15" hidden="false" customHeight="false" outlineLevel="0" collapsed="false">
      <c r="A77" s="12" t="s">
        <v>112</v>
      </c>
      <c r="B77" s="12" t="n">
        <f aca="false">COUNTIF(Registro!$I$5:$I$804,$A77)</f>
        <v>1</v>
      </c>
      <c r="C77" s="12" t="n">
        <f aca="false">COUNTIFS(Registro!$I$5:$I$804,$A77,Registro!$M$5:$M$804,"PRESO")</f>
        <v>0</v>
      </c>
      <c r="D77" s="12" t="n">
        <f aca="false">COUNTIFS(Registro!$I$5:$I$804,$A77,Registro!$M$5:$M$804,"NON PRESO")</f>
        <v>0</v>
      </c>
      <c r="E77" s="12" t="n">
        <f aca="false">B77-C77-D77</f>
        <v>1</v>
      </c>
      <c r="F77" s="13" t="n">
        <f aca="false">IFERROR(C77/(C77+D77),0)</f>
        <v>0</v>
      </c>
      <c r="G77" s="14" t="n">
        <f aca="false">SUMIF(Registro!$I$5:$I$804,$A77,Registro!$Q$5:$Q$804)</f>
        <v>0</v>
      </c>
      <c r="H77" s="14" t="n">
        <f aca="false">SUMIFS(Registro!$P$5:$P$804,Registro!$I$5:$I$804,$A77,Registro!$M$5:$M$804,"PRESO")</f>
        <v>0</v>
      </c>
    </row>
    <row r="78" customFormat="false" ht="15" hidden="false" customHeight="false" outlineLevel="0" collapsed="false">
      <c r="A78" s="12" t="s">
        <v>113</v>
      </c>
      <c r="B78" s="12" t="n">
        <f aca="false">COUNTIF(Registro!$I$5:$I$804,$A78)</f>
        <v>2</v>
      </c>
      <c r="C78" s="12" t="n">
        <f aca="false">COUNTIFS(Registro!$I$5:$I$804,$A78,Registro!$M$5:$M$804,"PRESO")</f>
        <v>0</v>
      </c>
      <c r="D78" s="12" t="n">
        <f aca="false">COUNTIFS(Registro!$I$5:$I$804,$A78,Registro!$M$5:$M$804,"NON PRESO")</f>
        <v>0</v>
      </c>
      <c r="E78" s="12" t="n">
        <f aca="false">B78-C78-D78</f>
        <v>2</v>
      </c>
      <c r="F78" s="13" t="n">
        <f aca="false">IFERROR(C78/(C78+D78),0)</f>
        <v>0</v>
      </c>
      <c r="G78" s="14" t="n">
        <f aca="false">SUMIF(Registro!$I$5:$I$804,$A78,Registro!$Q$5:$Q$804)</f>
        <v>0</v>
      </c>
      <c r="H78" s="14" t="n">
        <f aca="false">SUMIFS(Registro!$P$5:$P$804,Registro!$I$5:$I$804,$A78,Registro!$M$5:$M$804,"PRESO")</f>
        <v>0</v>
      </c>
    </row>
    <row r="79" customFormat="false" ht="15" hidden="false" customHeight="false" outlineLevel="0" collapsed="false">
      <c r="A79" s="12" t="s">
        <v>68</v>
      </c>
      <c r="B79" s="12" t="n">
        <f aca="false">COUNTIF(Registro!$I$5:$I$804,$A79)</f>
        <v>0</v>
      </c>
      <c r="C79" s="12" t="n">
        <f aca="false">COUNTIFS(Registro!$I$5:$I$804,$A79,Registro!$M$5:$M$804,"PRESO")</f>
        <v>0</v>
      </c>
      <c r="D79" s="12" t="n">
        <f aca="false">COUNTIFS(Registro!$I$5:$I$804,$A79,Registro!$M$5:$M$804,"NON PRESO")</f>
        <v>0</v>
      </c>
      <c r="E79" s="12" t="n">
        <f aca="false">B79-C79-D79</f>
        <v>0</v>
      </c>
      <c r="F79" s="13" t="n">
        <f aca="false">IFERROR(C79/(C79+D79),0)</f>
        <v>0</v>
      </c>
      <c r="G79" s="14" t="n">
        <f aca="false">SUMIF(Registro!$I$5:$I$804,$A79,Registro!$Q$5:$Q$804)</f>
        <v>0</v>
      </c>
      <c r="H79" s="14" t="n">
        <f aca="false">SUMIFS(Registro!$P$5:$P$804,Registro!$I$5:$I$804,$A79,Registro!$M$5:$M$804,"PRESO")</f>
        <v>0</v>
      </c>
    </row>
    <row r="80" customFormat="false" ht="15" hidden="false" customHeight="false" outlineLevel="0" collapsed="false">
      <c r="A80" s="15" t="s">
        <v>69</v>
      </c>
      <c r="B80" s="15" t="n">
        <f aca="false">SUM(B72:B79)</f>
        <v>180</v>
      </c>
      <c r="C80" s="15" t="n">
        <f aca="false">SUM(C72:C79)</f>
        <v>0</v>
      </c>
      <c r="D80" s="15" t="n">
        <f aca="false">SUM(D72:D79)</f>
        <v>0</v>
      </c>
      <c r="E80" s="15" t="n">
        <f aca="false">SUM(E72:E79)</f>
        <v>180</v>
      </c>
      <c r="F80" s="16" t="n">
        <f aca="false">IFERROR(C80/(C80+D80),0)</f>
        <v>0</v>
      </c>
      <c r="G80" s="17" t="n">
        <f aca="false">SUM(G72:G79)</f>
        <v>123</v>
      </c>
      <c r="H80" s="17" t="n">
        <f aca="false">SUM(H72:H79)</f>
        <v>0</v>
      </c>
    </row>
    <row r="82" customFormat="false" ht="15" hidden="false" customHeight="false" outlineLevel="0" collapsed="false">
      <c r="A82" s="10" t="s">
        <v>114</v>
      </c>
    </row>
    <row r="83" customFormat="false" ht="35.05" hidden="false" customHeight="false" outlineLevel="0" collapsed="false">
      <c r="A83" s="11" t="s">
        <v>115</v>
      </c>
      <c r="B83" s="11" t="s">
        <v>51</v>
      </c>
      <c r="C83" s="11" t="s">
        <v>52</v>
      </c>
      <c r="D83" s="11" t="s">
        <v>53</v>
      </c>
      <c r="E83" s="11" t="s">
        <v>54</v>
      </c>
      <c r="F83" s="11" t="s">
        <v>55</v>
      </c>
      <c r="G83" s="11" t="s">
        <v>56</v>
      </c>
      <c r="H83" s="11" t="s">
        <v>57</v>
      </c>
    </row>
    <row r="84" customFormat="false" ht="15" hidden="false" customHeight="false" outlineLevel="0" collapsed="false">
      <c r="A84" s="12" t="s">
        <v>116</v>
      </c>
      <c r="B84" s="12" t="n">
        <f aca="false">COUNTIF(Registro!$E$5:$E$804,$A84)</f>
        <v>126</v>
      </c>
      <c r="C84" s="12" t="n">
        <f aca="false">COUNTIFS(Registro!$E$5:$E$804,$A84,Registro!$M$5:$M$804,"PRESO")</f>
        <v>0</v>
      </c>
      <c r="D84" s="12" t="n">
        <f aca="false">COUNTIFS(Registro!$E$5:$E$804,$A84,Registro!$M$5:$M$804,"NON PRESO")</f>
        <v>0</v>
      </c>
      <c r="E84" s="12" t="n">
        <f aca="false">B84-C84-D84</f>
        <v>126</v>
      </c>
      <c r="F84" s="13" t="n">
        <f aca="false">IFERROR(C84/(C84+D84),0)</f>
        <v>0</v>
      </c>
      <c r="G84" s="14" t="n">
        <f aca="false">SUMIF(Registro!$E$5:$E$804,$A84,Registro!$Q$5:$Q$804)</f>
        <v>118</v>
      </c>
      <c r="H84" s="14" t="n">
        <f aca="false">SUMIFS(Registro!$P$5:$P$804,Registro!$E$5:$E$804,$A84,Registro!$M$5:$M$804,"PRESO")</f>
        <v>0</v>
      </c>
    </row>
    <row r="85" customFormat="false" ht="15" hidden="false" customHeight="false" outlineLevel="0" collapsed="false">
      <c r="A85" s="12" t="s">
        <v>117</v>
      </c>
      <c r="B85" s="12" t="n">
        <f aca="false">COUNTIF(Registro!$E$5:$E$804,$A85)</f>
        <v>4</v>
      </c>
      <c r="C85" s="12" t="n">
        <f aca="false">COUNTIFS(Registro!$E$5:$E$804,$A85,Registro!$M$5:$M$804,"PRESO")</f>
        <v>0</v>
      </c>
      <c r="D85" s="12" t="n">
        <f aca="false">COUNTIFS(Registro!$E$5:$E$804,$A85,Registro!$M$5:$M$804,"NON PRESO")</f>
        <v>0</v>
      </c>
      <c r="E85" s="12" t="n">
        <f aca="false">B85-C85-D85</f>
        <v>4</v>
      </c>
      <c r="F85" s="13" t="n">
        <f aca="false">IFERROR(C85/(C85+D85),0)</f>
        <v>0</v>
      </c>
      <c r="G85" s="14" t="n">
        <f aca="false">SUMIF(Registro!$E$5:$E$804,$A85,Registro!$Q$5:$Q$804)</f>
        <v>0</v>
      </c>
      <c r="H85" s="14" t="n">
        <f aca="false">SUMIFS(Registro!$P$5:$P$804,Registro!$E$5:$E$804,$A85,Registro!$M$5:$M$804,"PRESO")</f>
        <v>0</v>
      </c>
    </row>
    <row r="86" customFormat="false" ht="15" hidden="false" customHeight="false" outlineLevel="0" collapsed="false">
      <c r="A86" s="12" t="s">
        <v>118</v>
      </c>
      <c r="B86" s="12" t="n">
        <f aca="false">COUNTIF(Registro!$E$5:$E$804,$A86)</f>
        <v>30</v>
      </c>
      <c r="C86" s="12" t="n">
        <f aca="false">COUNTIFS(Registro!$E$5:$E$804,$A86,Registro!$M$5:$M$804,"PRESO")</f>
        <v>0</v>
      </c>
      <c r="D86" s="12" t="n">
        <f aca="false">COUNTIFS(Registro!$E$5:$E$804,$A86,Registro!$M$5:$M$804,"NON PRESO")</f>
        <v>0</v>
      </c>
      <c r="E86" s="12" t="n">
        <f aca="false">B86-C86-D86</f>
        <v>30</v>
      </c>
      <c r="F86" s="13" t="n">
        <f aca="false">IFERROR(C86/(C86+D86),0)</f>
        <v>0</v>
      </c>
      <c r="G86" s="14" t="n">
        <f aca="false">SUMIF(Registro!$E$5:$E$804,$A86,Registro!$Q$5:$Q$804)</f>
        <v>0</v>
      </c>
      <c r="H86" s="14" t="n">
        <f aca="false">SUMIFS(Registro!$P$5:$P$804,Registro!$E$5:$E$804,$A86,Registro!$M$5:$M$804,"PRESO")</f>
        <v>0</v>
      </c>
    </row>
    <row r="87" customFormat="false" ht="15" hidden="false" customHeight="false" outlineLevel="0" collapsed="false">
      <c r="A87" s="12" t="s">
        <v>119</v>
      </c>
      <c r="B87" s="12" t="n">
        <f aca="false">COUNTIF(Registro!$E$5:$E$804,$A87)</f>
        <v>7</v>
      </c>
      <c r="C87" s="12" t="n">
        <f aca="false">COUNTIFS(Registro!$E$5:$E$804,$A87,Registro!$M$5:$M$804,"PRESO")</f>
        <v>0</v>
      </c>
      <c r="D87" s="12" t="n">
        <f aca="false">COUNTIFS(Registro!$E$5:$E$804,$A87,Registro!$M$5:$M$804,"NON PRESO")</f>
        <v>0</v>
      </c>
      <c r="E87" s="12" t="n">
        <f aca="false">B87-C87-D87</f>
        <v>7</v>
      </c>
      <c r="F87" s="13" t="n">
        <f aca="false">IFERROR(C87/(C87+D87),0)</f>
        <v>0</v>
      </c>
      <c r="G87" s="14" t="n">
        <f aca="false">SUMIF(Registro!$E$5:$E$804,$A87,Registro!$Q$5:$Q$804)</f>
        <v>5</v>
      </c>
      <c r="H87" s="14" t="n">
        <f aca="false">SUMIFS(Registro!$P$5:$P$804,Registro!$E$5:$E$804,$A87,Registro!$M$5:$M$804,"PRESO")</f>
        <v>0</v>
      </c>
    </row>
    <row r="88" customFormat="false" ht="15" hidden="false" customHeight="false" outlineLevel="0" collapsed="false">
      <c r="A88" s="12" t="s">
        <v>120</v>
      </c>
      <c r="B88" s="12" t="n">
        <f aca="false">COUNTIF(Registro!$E$5:$E$804,$A88)</f>
        <v>16</v>
      </c>
      <c r="C88" s="12" t="n">
        <f aca="false">COUNTIFS(Registro!$E$5:$E$804,$A88,Registro!$M$5:$M$804,"PRESO")</f>
        <v>0</v>
      </c>
      <c r="D88" s="12" t="n">
        <f aca="false">COUNTIFS(Registro!$E$5:$E$804,$A88,Registro!$M$5:$M$804,"NON PRESO")</f>
        <v>0</v>
      </c>
      <c r="E88" s="12" t="n">
        <f aca="false">B88-C88-D88</f>
        <v>16</v>
      </c>
      <c r="F88" s="13" t="n">
        <f aca="false">IFERROR(C88/(C88+D88),0)</f>
        <v>0</v>
      </c>
      <c r="G88" s="14" t="n">
        <f aca="false">SUMIF(Registro!$E$5:$E$804,$A88,Registro!$Q$5:$Q$804)</f>
        <v>0</v>
      </c>
      <c r="H88" s="14" t="n">
        <f aca="false">SUMIFS(Registro!$P$5:$P$804,Registro!$E$5:$E$804,$A88,Registro!$M$5:$M$804,"PRESO")</f>
        <v>0</v>
      </c>
    </row>
    <row r="89" customFormat="false" ht="15" hidden="false" customHeight="false" outlineLevel="0" collapsed="false">
      <c r="A89" s="12" t="s">
        <v>121</v>
      </c>
      <c r="B89" s="12" t="n">
        <f aca="false">COUNTIF(Registro!$E$5:$E$804,$A89)</f>
        <v>1</v>
      </c>
      <c r="C89" s="12" t="n">
        <f aca="false">COUNTIFS(Registro!$E$5:$E$804,$A89,Registro!$M$5:$M$804,"PRESO")</f>
        <v>0</v>
      </c>
      <c r="D89" s="12" t="n">
        <f aca="false">COUNTIFS(Registro!$E$5:$E$804,$A89,Registro!$M$5:$M$804,"NON PRESO")</f>
        <v>0</v>
      </c>
      <c r="E89" s="12" t="n">
        <f aca="false">B89-C89-D89</f>
        <v>1</v>
      </c>
      <c r="F89" s="13" t="n">
        <f aca="false">IFERROR(C89/(C89+D89),0)</f>
        <v>0</v>
      </c>
      <c r="G89" s="14" t="n">
        <f aca="false">SUMIF(Registro!$E$5:$E$804,$A89,Registro!$Q$5:$Q$804)</f>
        <v>0</v>
      </c>
      <c r="H89" s="14" t="n">
        <f aca="false">SUMIFS(Registro!$P$5:$P$804,Registro!$E$5:$E$804,$A89,Registro!$M$5:$M$804,"PRESO")</f>
        <v>0</v>
      </c>
    </row>
    <row r="90" customFormat="false" ht="15" hidden="false" customHeight="false" outlineLevel="0" collapsed="false">
      <c r="A90" s="12" t="s">
        <v>122</v>
      </c>
      <c r="B90" s="12" t="n">
        <f aca="false">COUNTIF(Registro!$E$5:$E$804,$A90)</f>
        <v>0</v>
      </c>
      <c r="C90" s="12" t="n">
        <f aca="false">COUNTIFS(Registro!$E$5:$E$804,$A90,Registro!$M$5:$M$804,"PRESO")</f>
        <v>0</v>
      </c>
      <c r="D90" s="12" t="n">
        <f aca="false">COUNTIFS(Registro!$E$5:$E$804,$A90,Registro!$M$5:$M$804,"NON PRESO")</f>
        <v>0</v>
      </c>
      <c r="E90" s="12" t="n">
        <f aca="false">B90-C90-D90</f>
        <v>0</v>
      </c>
      <c r="F90" s="13" t="n">
        <f aca="false">IFERROR(C90/(C90+D90),0)</f>
        <v>0</v>
      </c>
      <c r="G90" s="14" t="n">
        <f aca="false">SUMIF(Registro!$E$5:$E$804,$A90,Registro!$Q$5:$Q$804)</f>
        <v>0</v>
      </c>
      <c r="H90" s="14" t="n">
        <f aca="false">SUMIFS(Registro!$P$5:$P$804,Registro!$E$5:$E$804,$A90,Registro!$M$5:$M$804,"PRESO")</f>
        <v>0</v>
      </c>
    </row>
    <row r="91" customFormat="false" ht="15" hidden="false" customHeight="false" outlineLevel="0" collapsed="false">
      <c r="A91" s="12" t="s">
        <v>68</v>
      </c>
      <c r="B91" s="12" t="n">
        <f aca="false">COUNTIF(Registro!$E$5:$E$804,$A91)</f>
        <v>0</v>
      </c>
      <c r="C91" s="12" t="n">
        <f aca="false">COUNTIFS(Registro!$E$5:$E$804,$A91,Registro!$M$5:$M$804,"PRESO")</f>
        <v>0</v>
      </c>
      <c r="D91" s="12" t="n">
        <f aca="false">COUNTIFS(Registro!$E$5:$E$804,$A91,Registro!$M$5:$M$804,"NON PRESO")</f>
        <v>0</v>
      </c>
      <c r="E91" s="12" t="n">
        <f aca="false">B91-C91-D91</f>
        <v>0</v>
      </c>
      <c r="F91" s="13" t="n">
        <f aca="false">IFERROR(C91/(C91+D91),0)</f>
        <v>0</v>
      </c>
      <c r="G91" s="14" t="n">
        <f aca="false">SUMIF(Registro!$E$5:$E$804,$A91,Registro!$Q$5:$Q$804)</f>
        <v>0</v>
      </c>
      <c r="H91" s="14" t="n">
        <f aca="false">SUMIFS(Registro!$P$5:$P$804,Registro!$E$5:$E$804,$A91,Registro!$M$5:$M$804,"PRESO")</f>
        <v>0</v>
      </c>
    </row>
    <row r="92" customFormat="false" ht="15" hidden="false" customHeight="false" outlineLevel="0" collapsed="false">
      <c r="A92" s="15" t="s">
        <v>69</v>
      </c>
      <c r="B92" s="15" t="n">
        <f aca="false">SUM(B84:B91)</f>
        <v>184</v>
      </c>
      <c r="C92" s="15" t="n">
        <f aca="false">SUM(C84:C91)</f>
        <v>0</v>
      </c>
      <c r="D92" s="15" t="n">
        <f aca="false">SUM(D84:D91)</f>
        <v>0</v>
      </c>
      <c r="E92" s="15" t="n">
        <f aca="false">SUM(E84:E91)</f>
        <v>184</v>
      </c>
      <c r="F92" s="16" t="n">
        <f aca="false">IFERROR(C92/(C92+D92),0)</f>
        <v>0</v>
      </c>
      <c r="G92" s="17" t="n">
        <f aca="false">SUM(G84:G91)</f>
        <v>123</v>
      </c>
      <c r="H92" s="17" t="n">
        <f aca="false">SUM(H84:H91)</f>
        <v>0</v>
      </c>
    </row>
    <row r="94" customFormat="false" ht="15" hidden="false" customHeight="false" outlineLevel="0" collapsed="false">
      <c r="A94" s="10" t="s">
        <v>123</v>
      </c>
    </row>
    <row r="95" customFormat="false" ht="35.05" hidden="false" customHeight="false" outlineLevel="0" collapsed="false">
      <c r="A95" s="11" t="s">
        <v>124</v>
      </c>
      <c r="B95" s="11" t="s">
        <v>51</v>
      </c>
      <c r="C95" s="11" t="s">
        <v>52</v>
      </c>
      <c r="D95" s="11" t="s">
        <v>53</v>
      </c>
      <c r="E95" s="11" t="s">
        <v>54</v>
      </c>
      <c r="F95" s="11" t="s">
        <v>55</v>
      </c>
      <c r="G95" s="11" t="s">
        <v>56</v>
      </c>
      <c r="H95" s="11" t="s">
        <v>57</v>
      </c>
    </row>
    <row r="96" customFormat="false" ht="15" hidden="false" customHeight="false" outlineLevel="0" collapsed="false">
      <c r="A96" s="12" t="s">
        <v>125</v>
      </c>
      <c r="B96" s="12" t="n">
        <f aca="false">COUNTIF(Registro!$R$5:$R$804,$A96)</f>
        <v>6</v>
      </c>
      <c r="C96" s="12" t="n">
        <f aca="false">COUNTIFS(Registro!$R$5:$R$804,$A96,Registro!$M$5:$M$804,"PRESO")</f>
        <v>0</v>
      </c>
      <c r="D96" s="12" t="n">
        <f aca="false">COUNTIFS(Registro!$R$5:$R$804,$A96,Registro!$M$5:$M$804,"NON PRESO")</f>
        <v>0</v>
      </c>
      <c r="E96" s="12" t="n">
        <f aca="false">B96-C96-D96</f>
        <v>6</v>
      </c>
      <c r="F96" s="13" t="n">
        <f aca="false">IFERROR(C96/(C96+D96),0)</f>
        <v>0</v>
      </c>
      <c r="G96" s="14" t="n">
        <f aca="false">SUMIF(Registro!$R$5:$R$804,$A96,Registro!$Q$5:$Q$804)</f>
        <v>0</v>
      </c>
      <c r="H96" s="14" t="n">
        <f aca="false">SUMIFS(Registro!$P$5:$P$804,Registro!$R$5:$R$804,$A96,Registro!$M$5:$M$804,"PRESO")</f>
        <v>0</v>
      </c>
    </row>
    <row r="97" customFormat="false" ht="15" hidden="false" customHeight="false" outlineLevel="0" collapsed="false">
      <c r="A97" s="12" t="s">
        <v>126</v>
      </c>
      <c r="B97" s="12" t="n">
        <f aca="false">COUNTIF(Registro!$R$5:$R$804,$A97)</f>
        <v>73</v>
      </c>
      <c r="C97" s="12" t="n">
        <f aca="false">COUNTIFS(Registro!$R$5:$R$804,$A97,Registro!$M$5:$M$804,"PRESO")</f>
        <v>0</v>
      </c>
      <c r="D97" s="12" t="n">
        <f aca="false">COUNTIFS(Registro!$R$5:$R$804,$A97,Registro!$M$5:$M$804,"NON PRESO")</f>
        <v>0</v>
      </c>
      <c r="E97" s="12" t="n">
        <f aca="false">B97-C97-D97</f>
        <v>73</v>
      </c>
      <c r="F97" s="13" t="n">
        <f aca="false">IFERROR(C97/(C97+D97),0)</f>
        <v>0</v>
      </c>
      <c r="G97" s="14" t="n">
        <f aca="false">SUMIF(Registro!$R$5:$R$804,$A97,Registro!$Q$5:$Q$804)</f>
        <v>0</v>
      </c>
      <c r="H97" s="14" t="n">
        <f aca="false">SUMIFS(Registro!$P$5:$P$804,Registro!$R$5:$R$804,$A97,Registro!$M$5:$M$804,"PRESO")</f>
        <v>0</v>
      </c>
    </row>
    <row r="98" customFormat="false" ht="15" hidden="false" customHeight="false" outlineLevel="0" collapsed="false">
      <c r="A98" s="12" t="s">
        <v>127</v>
      </c>
      <c r="B98" s="12" t="n">
        <f aca="false">COUNTIF(Registro!$R$5:$R$804,$A98)</f>
        <v>18</v>
      </c>
      <c r="C98" s="12" t="n">
        <f aca="false">COUNTIFS(Registro!$R$5:$R$804,$A98,Registro!$M$5:$M$804,"PRESO")</f>
        <v>0</v>
      </c>
      <c r="D98" s="12" t="n">
        <f aca="false">COUNTIFS(Registro!$R$5:$R$804,$A98,Registro!$M$5:$M$804,"NON PRESO")</f>
        <v>0</v>
      </c>
      <c r="E98" s="12" t="n">
        <f aca="false">B98-C98-D98</f>
        <v>18</v>
      </c>
      <c r="F98" s="13" t="n">
        <f aca="false">IFERROR(C98/(C98+D98),0)</f>
        <v>0</v>
      </c>
      <c r="G98" s="14" t="n">
        <f aca="false">SUMIF(Registro!$R$5:$R$804,$A98,Registro!$Q$5:$Q$804)</f>
        <v>0</v>
      </c>
      <c r="H98" s="14" t="n">
        <f aca="false">SUMIFS(Registro!$P$5:$P$804,Registro!$R$5:$R$804,$A98,Registro!$M$5:$M$804,"PRESO")</f>
        <v>0</v>
      </c>
    </row>
    <row r="99" customFormat="false" ht="15" hidden="false" customHeight="false" outlineLevel="0" collapsed="false">
      <c r="A99" s="12" t="s">
        <v>128</v>
      </c>
      <c r="B99" s="12" t="n">
        <f aca="false">COUNTIF(Registro!$R$5:$R$804,$A99)</f>
        <v>17</v>
      </c>
      <c r="C99" s="12" t="n">
        <f aca="false">COUNTIFS(Registro!$R$5:$R$804,$A99,Registro!$M$5:$M$804,"PRESO")</f>
        <v>0</v>
      </c>
      <c r="D99" s="12" t="n">
        <f aca="false">COUNTIFS(Registro!$R$5:$R$804,$A99,Registro!$M$5:$M$804,"NON PRESO")</f>
        <v>0</v>
      </c>
      <c r="E99" s="12" t="n">
        <f aca="false">B99-C99-D99</f>
        <v>17</v>
      </c>
      <c r="F99" s="13" t="n">
        <f aca="false">IFERROR(C99/(C99+D99),0)</f>
        <v>0</v>
      </c>
      <c r="G99" s="14" t="n">
        <f aca="false">SUMIF(Registro!$R$5:$R$804,$A99,Registro!$Q$5:$Q$804)</f>
        <v>0</v>
      </c>
      <c r="H99" s="14" t="n">
        <f aca="false">SUMIFS(Registro!$P$5:$P$804,Registro!$R$5:$R$804,$A99,Registro!$M$5:$M$804,"PRESO")</f>
        <v>0</v>
      </c>
    </row>
    <row r="100" customFormat="false" ht="15" hidden="false" customHeight="false" outlineLevel="0" collapsed="false">
      <c r="A100" s="12" t="s">
        <v>129</v>
      </c>
      <c r="B100" s="12" t="n">
        <f aca="false">COUNTIF(Registro!$R$5:$R$804,$A100)</f>
        <v>41</v>
      </c>
      <c r="C100" s="12" t="n">
        <f aca="false">COUNTIFS(Registro!$R$5:$R$804,$A100,Registro!$M$5:$M$804,"PRESO")</f>
        <v>0</v>
      </c>
      <c r="D100" s="12" t="n">
        <f aca="false">COUNTIFS(Registro!$R$5:$R$804,$A100,Registro!$M$5:$M$804,"NON PRESO")</f>
        <v>0</v>
      </c>
      <c r="E100" s="12" t="n">
        <f aca="false">B100-C100-D100</f>
        <v>41</v>
      </c>
      <c r="F100" s="13" t="n">
        <f aca="false">IFERROR(C100/(C100+D100),0)</f>
        <v>0</v>
      </c>
      <c r="G100" s="14" t="n">
        <f aca="false">SUMIF(Registro!$R$5:$R$804,$A100,Registro!$Q$5:$Q$804)</f>
        <v>0</v>
      </c>
      <c r="H100" s="14" t="n">
        <f aca="false">SUMIFS(Registro!$P$5:$P$804,Registro!$R$5:$R$804,$A100,Registro!$M$5:$M$804,"PRESO")</f>
        <v>0</v>
      </c>
    </row>
    <row r="101" customFormat="false" ht="15" hidden="false" customHeight="false" outlineLevel="0" collapsed="false">
      <c r="A101" s="12" t="s">
        <v>130</v>
      </c>
      <c r="B101" s="12" t="n">
        <f aca="false">COUNTIF(Registro!$R$5:$R$804,$A101)</f>
        <v>3</v>
      </c>
      <c r="C101" s="12" t="n">
        <f aca="false">COUNTIFS(Registro!$R$5:$R$804,$A101,Registro!$M$5:$M$804,"PRESO")</f>
        <v>0</v>
      </c>
      <c r="D101" s="12" t="n">
        <f aca="false">COUNTIFS(Registro!$R$5:$R$804,$A101,Registro!$M$5:$M$804,"NON PRESO")</f>
        <v>0</v>
      </c>
      <c r="E101" s="12" t="n">
        <f aca="false">B101-C101-D101</f>
        <v>3</v>
      </c>
      <c r="F101" s="13" t="n">
        <f aca="false">IFERROR(C101/(C101+D101),0)</f>
        <v>0</v>
      </c>
      <c r="G101" s="14" t="n">
        <f aca="false">SUMIF(Registro!$R$5:$R$804,$A101,Registro!$Q$5:$Q$804)</f>
        <v>0</v>
      </c>
      <c r="H101" s="14" t="n">
        <f aca="false">SUMIFS(Registro!$P$5:$P$804,Registro!$R$5:$R$804,$A101,Registro!$M$5:$M$804,"PRESO")</f>
        <v>0</v>
      </c>
    </row>
    <row r="102" customFormat="false" ht="15" hidden="false" customHeight="false" outlineLevel="0" collapsed="false">
      <c r="A102" s="12" t="s">
        <v>131</v>
      </c>
      <c r="B102" s="12" t="n">
        <f aca="false">COUNTIF(Registro!$R$5:$R$804,$A102)</f>
        <v>1</v>
      </c>
      <c r="C102" s="12" t="n">
        <f aca="false">COUNTIFS(Registro!$R$5:$R$804,$A102,Registro!$M$5:$M$804,"PRESO")</f>
        <v>0</v>
      </c>
      <c r="D102" s="12" t="n">
        <f aca="false">COUNTIFS(Registro!$R$5:$R$804,$A102,Registro!$M$5:$M$804,"NON PRESO")</f>
        <v>0</v>
      </c>
      <c r="E102" s="12" t="n">
        <f aca="false">B102-C102-D102</f>
        <v>1</v>
      </c>
      <c r="F102" s="13" t="n">
        <f aca="false">IFERROR(C102/(C102+D102),0)</f>
        <v>0</v>
      </c>
      <c r="G102" s="14" t="n">
        <f aca="false">SUMIF(Registro!$R$5:$R$804,$A102,Registro!$Q$5:$Q$804)</f>
        <v>0</v>
      </c>
      <c r="H102" s="14" t="n">
        <f aca="false">SUMIFS(Registro!$P$5:$P$804,Registro!$R$5:$R$804,$A102,Registro!$M$5:$M$804,"PRESO")</f>
        <v>0</v>
      </c>
    </row>
    <row r="103" customFormat="false" ht="15" hidden="false" customHeight="false" outlineLevel="0" collapsed="false">
      <c r="A103" s="15" t="s">
        <v>69</v>
      </c>
      <c r="B103" s="15" t="n">
        <f aca="false">SUM(B96:B102)</f>
        <v>159</v>
      </c>
      <c r="C103" s="15" t="n">
        <f aca="false">SUM(C96:C102)</f>
        <v>0</v>
      </c>
      <c r="D103" s="15" t="n">
        <f aca="false">SUM(D96:D102)</f>
        <v>0</v>
      </c>
      <c r="E103" s="15" t="n">
        <f aca="false">SUM(E96:E102)</f>
        <v>159</v>
      </c>
      <c r="F103" s="16" t="n">
        <f aca="false">IFERROR(C103/(C103+D103),0)</f>
        <v>0</v>
      </c>
      <c r="G103" s="17" t="n">
        <f aca="false">SUM(G96:G102)</f>
        <v>0</v>
      </c>
      <c r="H103" s="17" t="n">
        <f aca="false">SUM(H96:H102)</f>
        <v>0</v>
      </c>
    </row>
    <row r="105" customFormat="false" ht="15" hidden="false" customHeight="false" outlineLevel="0" collapsed="false">
      <c r="A105" s="10" t="s">
        <v>132</v>
      </c>
    </row>
    <row r="106" customFormat="false" ht="35.05" hidden="false" customHeight="false" outlineLevel="0" collapsed="false">
      <c r="A106" s="11" t="s">
        <v>71</v>
      </c>
      <c r="B106" s="11" t="s">
        <v>58</v>
      </c>
      <c r="C106" s="11" t="s">
        <v>59</v>
      </c>
      <c r="D106" s="11" t="s">
        <v>60</v>
      </c>
      <c r="E106" s="11" t="s">
        <v>61</v>
      </c>
      <c r="F106" s="11" t="s">
        <v>133</v>
      </c>
      <c r="G106" s="11" t="s">
        <v>134</v>
      </c>
    </row>
    <row r="107" customFormat="false" ht="15" hidden="false" customHeight="false" outlineLevel="0" collapsed="false">
      <c r="A107" s="12" t="s">
        <v>72</v>
      </c>
      <c r="B107" s="12" t="n">
        <f aca="false">COUNTIFS(Registro!$J$5:$J$804,$A107,Registro!$B$5:$B$804,B$106)</f>
        <v>7</v>
      </c>
      <c r="C107" s="12" t="n">
        <f aca="false">COUNTIFS(Registro!$J$5:$J$804,$A107,Registro!$B$5:$B$804,C$106)</f>
        <v>5</v>
      </c>
      <c r="D107" s="12" t="n">
        <f aca="false">COUNTIFS(Registro!$J$5:$J$804,$A107,Registro!$B$5:$B$804,D$106)</f>
        <v>3</v>
      </c>
      <c r="E107" s="12" t="n">
        <f aca="false">COUNTIFS(Registro!$J$5:$J$804,$A107,Registro!$B$5:$B$804,E$106)</f>
        <v>12</v>
      </c>
      <c r="F107" s="12" t="n">
        <f aca="false">G107-SUM(B107:E107)</f>
        <v>3</v>
      </c>
      <c r="G107" s="12" t="n">
        <f aca="false">COUNTIF(Registro!$J$5:$J$804,$A107)</f>
        <v>30</v>
      </c>
    </row>
    <row r="108" customFormat="false" ht="15" hidden="false" customHeight="false" outlineLevel="0" collapsed="false">
      <c r="A108" s="12" t="s">
        <v>73</v>
      </c>
      <c r="B108" s="12" t="n">
        <f aca="false">COUNTIFS(Registro!$J$5:$J$804,$A108,Registro!$B$5:$B$804,B$106)</f>
        <v>0</v>
      </c>
      <c r="C108" s="12" t="n">
        <f aca="false">COUNTIFS(Registro!$J$5:$J$804,$A108,Registro!$B$5:$B$804,C$106)</f>
        <v>8</v>
      </c>
      <c r="D108" s="12" t="n">
        <f aca="false">COUNTIFS(Registro!$J$5:$J$804,$A108,Registro!$B$5:$B$804,D$106)</f>
        <v>15</v>
      </c>
      <c r="E108" s="12" t="n">
        <f aca="false">COUNTIFS(Registro!$J$5:$J$804,$A108,Registro!$B$5:$B$804,E$106)</f>
        <v>13</v>
      </c>
      <c r="F108" s="12" t="n">
        <f aca="false">G108-SUM(B108:E108)</f>
        <v>2</v>
      </c>
      <c r="G108" s="12" t="n">
        <f aca="false">COUNTIF(Registro!$J$5:$J$804,$A108)</f>
        <v>38</v>
      </c>
    </row>
    <row r="109" customFormat="false" ht="15" hidden="false" customHeight="false" outlineLevel="0" collapsed="false">
      <c r="A109" s="12" t="s">
        <v>74</v>
      </c>
      <c r="B109" s="12" t="n">
        <f aca="false">COUNTIFS(Registro!$J$5:$J$804,$A109,Registro!$B$5:$B$804,B$106)</f>
        <v>0</v>
      </c>
      <c r="C109" s="12" t="n">
        <f aca="false">COUNTIFS(Registro!$J$5:$J$804,$A109,Registro!$B$5:$B$804,C$106)</f>
        <v>10</v>
      </c>
      <c r="D109" s="12" t="n">
        <f aca="false">COUNTIFS(Registro!$J$5:$J$804,$A109,Registro!$B$5:$B$804,D$106)</f>
        <v>7</v>
      </c>
      <c r="E109" s="12" t="n">
        <f aca="false">COUNTIFS(Registro!$J$5:$J$804,$A109,Registro!$B$5:$B$804,E$106)</f>
        <v>20</v>
      </c>
      <c r="F109" s="12" t="n">
        <f aca="false">G109-SUM(B109:E109)</f>
        <v>1</v>
      </c>
      <c r="G109" s="12" t="n">
        <f aca="false">COUNTIF(Registro!$J$5:$J$804,$A109)</f>
        <v>38</v>
      </c>
    </row>
    <row r="110" customFormat="false" ht="15" hidden="false" customHeight="false" outlineLevel="0" collapsed="false">
      <c r="A110" s="12" t="s">
        <v>75</v>
      </c>
      <c r="B110" s="12" t="n">
        <f aca="false">COUNTIFS(Registro!$J$5:$J$804,$A110,Registro!$B$5:$B$804,B$106)</f>
        <v>9</v>
      </c>
      <c r="C110" s="12" t="n">
        <f aca="false">COUNTIFS(Registro!$J$5:$J$804,$A110,Registro!$B$5:$B$804,C$106)</f>
        <v>3</v>
      </c>
      <c r="D110" s="12" t="n">
        <f aca="false">COUNTIFS(Registro!$J$5:$J$804,$A110,Registro!$B$5:$B$804,D$106)</f>
        <v>4</v>
      </c>
      <c r="E110" s="12" t="n">
        <f aca="false">COUNTIFS(Registro!$J$5:$J$804,$A110,Registro!$B$5:$B$804,E$106)</f>
        <v>16</v>
      </c>
      <c r="F110" s="12" t="n">
        <f aca="false">G110-SUM(B110:E110)</f>
        <v>1</v>
      </c>
      <c r="G110" s="12" t="n">
        <f aca="false">COUNTIF(Registro!$J$5:$J$804,$A110)</f>
        <v>33</v>
      </c>
    </row>
    <row r="111" customFormat="false" ht="15" hidden="false" customHeight="false" outlineLevel="0" collapsed="false">
      <c r="A111" s="12" t="s">
        <v>76</v>
      </c>
      <c r="B111" s="12" t="n">
        <f aca="false">COUNTIFS(Registro!$J$5:$J$804,$A111,Registro!$B$5:$B$804,B$106)</f>
        <v>0</v>
      </c>
      <c r="C111" s="12" t="n">
        <f aca="false">COUNTIFS(Registro!$J$5:$J$804,$A111,Registro!$B$5:$B$804,C$106)</f>
        <v>7</v>
      </c>
      <c r="D111" s="12" t="n">
        <f aca="false">COUNTIFS(Registro!$J$5:$J$804,$A111,Registro!$B$5:$B$804,D$106)</f>
        <v>3</v>
      </c>
      <c r="E111" s="12" t="n">
        <f aca="false">COUNTIFS(Registro!$J$5:$J$804,$A111,Registro!$B$5:$B$804,E$106)</f>
        <v>4</v>
      </c>
      <c r="F111" s="12" t="n">
        <f aca="false">G111-SUM(B111:E111)</f>
        <v>0</v>
      </c>
      <c r="G111" s="12" t="n">
        <f aca="false">COUNTIF(Registro!$J$5:$J$804,$A111)</f>
        <v>14</v>
      </c>
    </row>
    <row r="112" customFormat="false" ht="15" hidden="false" customHeight="false" outlineLevel="0" collapsed="false">
      <c r="A112" s="12" t="s">
        <v>77</v>
      </c>
      <c r="B112" s="12" t="n">
        <f aca="false">COUNTIFS(Registro!$J$5:$J$804,$A112,Registro!$B$5:$B$804,B$106)</f>
        <v>0</v>
      </c>
      <c r="C112" s="12" t="n">
        <f aca="false">COUNTIFS(Registro!$J$5:$J$804,$A112,Registro!$B$5:$B$804,C$106)</f>
        <v>0</v>
      </c>
      <c r="D112" s="12" t="n">
        <f aca="false">COUNTIFS(Registro!$J$5:$J$804,$A112,Registro!$B$5:$B$804,D$106)</f>
        <v>0</v>
      </c>
      <c r="E112" s="12" t="n">
        <f aca="false">COUNTIFS(Registro!$J$5:$J$804,$A112,Registro!$B$5:$B$804,E$106)</f>
        <v>0</v>
      </c>
      <c r="F112" s="12" t="n">
        <f aca="false">G112-SUM(B112:E112)</f>
        <v>0</v>
      </c>
      <c r="G112" s="12" t="n">
        <f aca="false">COUNTIF(Registro!$J$5:$J$804,$A112)</f>
        <v>0</v>
      </c>
    </row>
    <row r="113" customFormat="false" ht="15" hidden="false" customHeight="false" outlineLevel="0" collapsed="false">
      <c r="A113" s="12" t="s">
        <v>78</v>
      </c>
      <c r="B113" s="12" t="n">
        <f aca="false">COUNTIFS(Registro!$J$5:$J$804,$A113,Registro!$B$5:$B$804,B$106)</f>
        <v>0</v>
      </c>
      <c r="C113" s="12" t="n">
        <f aca="false">COUNTIFS(Registro!$J$5:$J$804,$A113,Registro!$B$5:$B$804,C$106)</f>
        <v>0</v>
      </c>
      <c r="D113" s="12" t="n">
        <f aca="false">COUNTIFS(Registro!$J$5:$J$804,$A113,Registro!$B$5:$B$804,D$106)</f>
        <v>0</v>
      </c>
      <c r="E113" s="12" t="n">
        <f aca="false">COUNTIFS(Registro!$J$5:$J$804,$A113,Registro!$B$5:$B$804,E$106)</f>
        <v>0</v>
      </c>
      <c r="F113" s="12" t="n">
        <f aca="false">G113-SUM(B113:E113)</f>
        <v>0</v>
      </c>
      <c r="G113" s="12" t="n">
        <f aca="false">COUNTIF(Registro!$J$5:$J$804,$A113)</f>
        <v>0</v>
      </c>
    </row>
    <row r="114" customFormat="false" ht="15" hidden="false" customHeight="false" outlineLevel="0" collapsed="false">
      <c r="A114" s="12" t="s">
        <v>79</v>
      </c>
      <c r="B114" s="12" t="n">
        <f aca="false">COUNTIFS(Registro!$J$5:$J$804,$A114,Registro!$B$5:$B$804,B$106)</f>
        <v>0</v>
      </c>
      <c r="C114" s="12" t="n">
        <f aca="false">COUNTIFS(Registro!$J$5:$J$804,$A114,Registro!$B$5:$B$804,C$106)</f>
        <v>7</v>
      </c>
      <c r="D114" s="12" t="n">
        <f aca="false">COUNTIFS(Registro!$J$5:$J$804,$A114,Registro!$B$5:$B$804,D$106)</f>
        <v>5</v>
      </c>
      <c r="E114" s="12" t="n">
        <f aca="false">COUNTIFS(Registro!$J$5:$J$804,$A114,Registro!$B$5:$B$804,E$106)</f>
        <v>18</v>
      </c>
      <c r="F114" s="12" t="n">
        <f aca="false">G114-SUM(B114:E114)</f>
        <v>1</v>
      </c>
      <c r="G114" s="12" t="n">
        <f aca="false">COUNTIF(Registro!$J$5:$J$804,$A114)</f>
        <v>31</v>
      </c>
    </row>
    <row r="116" customFormat="false" ht="15" hidden="false" customHeight="false" outlineLevel="0" collapsed="false">
      <c r="A116" s="10" t="s">
        <v>135</v>
      </c>
    </row>
    <row r="117" customFormat="false" ht="35.05" hidden="false" customHeight="false" outlineLevel="0" collapsed="false">
      <c r="A117" s="11" t="s">
        <v>136</v>
      </c>
      <c r="B117" s="11" t="s">
        <v>51</v>
      </c>
      <c r="C117" s="11" t="s">
        <v>137</v>
      </c>
      <c r="D117" s="11" t="s">
        <v>52</v>
      </c>
      <c r="E117" s="11" t="s">
        <v>53</v>
      </c>
    </row>
    <row r="118" customFormat="false" ht="15" hidden="false" customHeight="false" outlineLevel="0" collapsed="false">
      <c r="A118" s="12" t="s">
        <v>138</v>
      </c>
      <c r="B118" s="12" t="n">
        <f aca="false">COUNTIFS(Registro!$A$5:$A$804,"&gt;="&amp;DATE(2026,1,1),Registro!$A$5:$A$804,"&lt;"&amp;DATE(2026,2,1))</f>
        <v>15</v>
      </c>
      <c r="C118" s="12" t="n">
        <f aca="false">COUNTIFS(Registro!$A$5:$A$804,"&gt;="&amp;DATE(2026,1,1),Registro!$A$5:$A$804,"&lt;"&amp;DATE(2026,2,1),Registro!$B$5:$B$804,"Italiaonline")+COUNTIFS(Registro!$A$5:$A$804,"&gt;="&amp;DATE(2026,1,1),Registro!$A$5:$A$804,"&lt;"&amp;DATE(2026,2,1),Registro!$B$5:$B$804,"PgCasa (Italiaonline)")</f>
        <v>8</v>
      </c>
      <c r="D118" s="12" t="n">
        <f aca="false">COUNTIFS(Registro!$A$5:$A$804,"&gt;="&amp;DATE(2026,1,1),Registro!$A$5:$A$804,"&lt;"&amp;DATE(2026,2,1),Registro!$M$5:$M$804,"PRESO")</f>
        <v>0</v>
      </c>
      <c r="E118" s="12" t="n">
        <f aca="false">COUNTIFS(Registro!$A$5:$A$804,"&gt;="&amp;DATE(2026,1,1),Registro!$A$5:$A$804,"&lt;"&amp;DATE(2026,2,1),Registro!$M$5:$M$804,"NON PRESO")</f>
        <v>0</v>
      </c>
    </row>
    <row r="119" customFormat="false" ht="15" hidden="false" customHeight="false" outlineLevel="0" collapsed="false">
      <c r="A119" s="12" t="s">
        <v>139</v>
      </c>
      <c r="B119" s="12" t="n">
        <f aca="false">COUNTIFS(Registro!$A$5:$A$804,"&gt;="&amp;DATE(2026,2,1),Registro!$A$5:$A$804,"&lt;"&amp;DATE(2026,3,1))</f>
        <v>11</v>
      </c>
      <c r="C119" s="12" t="n">
        <f aca="false">COUNTIFS(Registro!$A$5:$A$804,"&gt;="&amp;DATE(2026,2,1),Registro!$A$5:$A$804,"&lt;"&amp;DATE(2026,3,1),Registro!$B$5:$B$804,"Italiaonline")+COUNTIFS(Registro!$A$5:$A$804,"&gt;="&amp;DATE(2026,2,1),Registro!$A$5:$A$804,"&lt;"&amp;DATE(2026,3,1),Registro!$B$5:$B$804,"PgCasa (Italiaonline)")</f>
        <v>8</v>
      </c>
      <c r="D119" s="12" t="n">
        <f aca="false">COUNTIFS(Registro!$A$5:$A$804,"&gt;="&amp;DATE(2026,2,1),Registro!$A$5:$A$804,"&lt;"&amp;DATE(2026,3,1),Registro!$M$5:$M$804,"PRESO")</f>
        <v>0</v>
      </c>
      <c r="E119" s="12" t="n">
        <f aca="false">COUNTIFS(Registro!$A$5:$A$804,"&gt;="&amp;DATE(2026,2,1),Registro!$A$5:$A$804,"&lt;"&amp;DATE(2026,3,1),Registro!$M$5:$M$804,"NON PRESO")</f>
        <v>0</v>
      </c>
    </row>
    <row r="120" customFormat="false" ht="15" hidden="false" customHeight="false" outlineLevel="0" collapsed="false">
      <c r="A120" s="12" t="s">
        <v>140</v>
      </c>
      <c r="B120" s="12" t="n">
        <f aca="false">COUNTIFS(Registro!$A$5:$A$804,"&gt;="&amp;DATE(2026,3,1),Registro!$A$5:$A$804,"&lt;"&amp;DATE(2026,4,1))</f>
        <v>22</v>
      </c>
      <c r="C120" s="12" t="n">
        <f aca="false">COUNTIFS(Registro!$A$5:$A$804,"&gt;="&amp;DATE(2026,3,1),Registro!$A$5:$A$804,"&lt;"&amp;DATE(2026,4,1),Registro!$B$5:$B$804,"Italiaonline")+COUNTIFS(Registro!$A$5:$A$804,"&gt;="&amp;DATE(2026,3,1),Registro!$A$5:$A$804,"&lt;"&amp;DATE(2026,4,1),Registro!$B$5:$B$804,"PgCasa (Italiaonline)")</f>
        <v>4</v>
      </c>
      <c r="D120" s="12" t="n">
        <f aca="false">COUNTIFS(Registro!$A$5:$A$804,"&gt;="&amp;DATE(2026,3,1),Registro!$A$5:$A$804,"&lt;"&amp;DATE(2026,4,1),Registro!$M$5:$M$804,"PRESO")</f>
        <v>0</v>
      </c>
      <c r="E120" s="12" t="n">
        <f aca="false">COUNTIFS(Registro!$A$5:$A$804,"&gt;="&amp;DATE(2026,3,1),Registro!$A$5:$A$804,"&lt;"&amp;DATE(2026,4,1),Registro!$M$5:$M$804,"NON PRESO")</f>
        <v>0</v>
      </c>
    </row>
    <row r="121" customFormat="false" ht="15" hidden="false" customHeight="false" outlineLevel="0" collapsed="false">
      <c r="A121" s="12" t="s">
        <v>141</v>
      </c>
      <c r="B121" s="12" t="n">
        <f aca="false">COUNTIFS(Registro!$A$5:$A$804,"&gt;="&amp;DATE(2026,4,1),Registro!$A$5:$A$804,"&lt;"&amp;DATE(2026,5,1))</f>
        <v>25</v>
      </c>
      <c r="C121" s="12" t="n">
        <f aca="false">COUNTIFS(Registro!$A$5:$A$804,"&gt;="&amp;DATE(2026,4,1),Registro!$A$5:$A$804,"&lt;"&amp;DATE(2026,5,1),Registro!$B$5:$B$804,"Italiaonline")+COUNTIFS(Registro!$A$5:$A$804,"&gt;="&amp;DATE(2026,4,1),Registro!$A$5:$A$804,"&lt;"&amp;DATE(2026,5,1),Registro!$B$5:$B$804,"PgCasa (Italiaonline)")</f>
        <v>13</v>
      </c>
      <c r="D121" s="12" t="n">
        <f aca="false">COUNTIFS(Registro!$A$5:$A$804,"&gt;="&amp;DATE(2026,4,1),Registro!$A$5:$A$804,"&lt;"&amp;DATE(2026,5,1),Registro!$M$5:$M$804,"PRESO")</f>
        <v>0</v>
      </c>
      <c r="E121" s="12" t="n">
        <f aca="false">COUNTIFS(Registro!$A$5:$A$804,"&gt;="&amp;DATE(2026,4,1),Registro!$A$5:$A$804,"&lt;"&amp;DATE(2026,5,1),Registro!$M$5:$M$804,"NON PRESO")</f>
        <v>0</v>
      </c>
    </row>
    <row r="122" customFormat="false" ht="15" hidden="false" customHeight="false" outlineLevel="0" collapsed="false">
      <c r="A122" s="12" t="s">
        <v>142</v>
      </c>
      <c r="B122" s="12" t="n">
        <f aca="false">COUNTIFS(Registro!$A$5:$A$804,"&gt;="&amp;DATE(2026,5,1),Registro!$A$5:$A$804,"&lt;"&amp;DATE(2026,6,1))</f>
        <v>29</v>
      </c>
      <c r="C122" s="12" t="n">
        <f aca="false">COUNTIFS(Registro!$A$5:$A$804,"&gt;="&amp;DATE(2026,5,1),Registro!$A$5:$A$804,"&lt;"&amp;DATE(2026,6,1),Registro!$B$5:$B$804,"Italiaonline")+COUNTIFS(Registro!$A$5:$A$804,"&gt;="&amp;DATE(2026,5,1),Registro!$A$5:$A$804,"&lt;"&amp;DATE(2026,6,1),Registro!$B$5:$B$804,"PgCasa (Italiaonline)")</f>
        <v>6</v>
      </c>
      <c r="D122" s="12" t="n">
        <f aca="false">COUNTIFS(Registro!$A$5:$A$804,"&gt;="&amp;DATE(2026,5,1),Registro!$A$5:$A$804,"&lt;"&amp;DATE(2026,6,1),Registro!$M$5:$M$804,"PRESO")</f>
        <v>0</v>
      </c>
      <c r="E122" s="12" t="n">
        <f aca="false">COUNTIFS(Registro!$A$5:$A$804,"&gt;="&amp;DATE(2026,5,1),Registro!$A$5:$A$804,"&lt;"&amp;DATE(2026,6,1),Registro!$M$5:$M$804,"NON PRESO")</f>
        <v>0</v>
      </c>
    </row>
    <row r="123" customFormat="false" ht="15" hidden="false" customHeight="false" outlineLevel="0" collapsed="false">
      <c r="A123" s="12" t="s">
        <v>143</v>
      </c>
      <c r="B123" s="12" t="n">
        <f aca="false">COUNTIFS(Registro!$A$5:$A$804,"&gt;="&amp;DATE(2026,6,1),Registro!$A$5:$A$804,"&lt;"&amp;DATE(2026,7,1))</f>
        <v>21</v>
      </c>
      <c r="C123" s="12" t="n">
        <f aca="false">COUNTIFS(Registro!$A$5:$A$804,"&gt;="&amp;DATE(2026,6,1),Registro!$A$5:$A$804,"&lt;"&amp;DATE(2026,7,1),Registro!$B$5:$B$804,"Italiaonline")+COUNTIFS(Registro!$A$5:$A$804,"&gt;="&amp;DATE(2026,6,1),Registro!$A$5:$A$804,"&lt;"&amp;DATE(2026,7,1),Registro!$B$5:$B$804,"PgCasa (Italiaonline)")</f>
        <v>2</v>
      </c>
      <c r="D123" s="12" t="n">
        <f aca="false">COUNTIFS(Registro!$A$5:$A$804,"&gt;="&amp;DATE(2026,6,1),Registro!$A$5:$A$804,"&lt;"&amp;DATE(2026,7,1),Registro!$M$5:$M$804,"PRESO")</f>
        <v>0</v>
      </c>
      <c r="E123" s="12" t="n">
        <f aca="false">COUNTIFS(Registro!$A$5:$A$804,"&gt;="&amp;DATE(2026,6,1),Registro!$A$5:$A$804,"&lt;"&amp;DATE(2026,7,1),Registro!$M$5:$M$804,"NON PRESO")</f>
        <v>0</v>
      </c>
    </row>
    <row r="124" customFormat="false" ht="15" hidden="false" customHeight="false" outlineLevel="0" collapsed="false">
      <c r="A124" s="12" t="s">
        <v>144</v>
      </c>
      <c r="B124" s="12" t="n">
        <f aca="false">COUNTIFS(Registro!$A$5:$A$804,"&gt;="&amp;DATE(2026,7,1),Registro!$A$5:$A$804,"&lt;"&amp;DATE(2026,8,1))</f>
        <v>23</v>
      </c>
      <c r="C124" s="12" t="n">
        <f aca="false">COUNTIFS(Registro!$A$5:$A$804,"&gt;="&amp;DATE(2026,7,1),Registro!$A$5:$A$804,"&lt;"&amp;DATE(2026,8,1),Registro!$B$5:$B$804,"Italiaonline")+COUNTIFS(Registro!$A$5:$A$804,"&gt;="&amp;DATE(2026,7,1),Registro!$A$5:$A$804,"&lt;"&amp;DATE(2026,8,1),Registro!$B$5:$B$804,"PgCasa (Italiaonline)")</f>
        <v>7</v>
      </c>
      <c r="D124" s="12" t="n">
        <f aca="false">COUNTIFS(Registro!$A$5:$A$804,"&gt;="&amp;DATE(2026,7,1),Registro!$A$5:$A$804,"&lt;"&amp;DATE(2026,8,1),Registro!$M$5:$M$804,"PRESO")</f>
        <v>0</v>
      </c>
      <c r="E124" s="12" t="n">
        <f aca="false">COUNTIFS(Registro!$A$5:$A$804,"&gt;="&amp;DATE(2026,7,1),Registro!$A$5:$A$804,"&lt;"&amp;DATE(2026,8,1),Registro!$M$5:$M$804,"NON PRESO")</f>
        <v>0</v>
      </c>
    </row>
    <row r="125" customFormat="false" ht="15" hidden="false" customHeight="false" outlineLevel="0" collapsed="false">
      <c r="A125" s="12" t="s">
        <v>145</v>
      </c>
      <c r="B125" s="12" t="n">
        <f aca="false">COUNTIFS(Registro!$A$5:$A$804,"&gt;="&amp;DATE(2026,8,1),Registro!$A$5:$A$804,"&lt;"&amp;DATE(2026,9,1))</f>
        <v>21</v>
      </c>
      <c r="C125" s="12" t="n">
        <f aca="false">COUNTIFS(Registro!$A$5:$A$804,"&gt;="&amp;DATE(2026,8,1),Registro!$A$5:$A$804,"&lt;"&amp;DATE(2026,9,1),Registro!$B$5:$B$804,"Italiaonline")+COUNTIFS(Registro!$A$5:$A$804,"&gt;="&amp;DATE(2026,8,1),Registro!$A$5:$A$804,"&lt;"&amp;DATE(2026,9,1),Registro!$B$5:$B$804,"PgCasa (Italiaonline)")</f>
        <v>1</v>
      </c>
      <c r="D125" s="12" t="n">
        <f aca="false">COUNTIFS(Registro!$A$5:$A$804,"&gt;="&amp;DATE(2026,8,1),Registro!$A$5:$A$804,"&lt;"&amp;DATE(2026,9,1),Registro!$M$5:$M$804,"PRESO")</f>
        <v>0</v>
      </c>
      <c r="E125" s="12" t="n">
        <f aca="false">COUNTIFS(Registro!$A$5:$A$804,"&gt;="&amp;DATE(2026,8,1),Registro!$A$5:$A$804,"&lt;"&amp;DATE(2026,9,1),Registro!$M$5:$M$804,"NON PRESO")</f>
        <v>0</v>
      </c>
    </row>
    <row r="126" customFormat="false" ht="15" hidden="false" customHeight="false" outlineLevel="0" collapsed="false">
      <c r="A126" s="12" t="s">
        <v>146</v>
      </c>
      <c r="B126" s="12" t="n">
        <f aca="false">COUNTIFS(Registro!$A$5:$A$804,"&gt;="&amp;DATE(2026,9,1),Registro!$A$5:$A$804,"&lt;"&amp;DATE(2026,10,1))</f>
        <v>12</v>
      </c>
      <c r="C126" s="12" t="n">
        <f aca="false">COUNTIFS(Registro!$A$5:$A$804,"&gt;="&amp;DATE(2026,9,1),Registro!$A$5:$A$804,"&lt;"&amp;DATE(2026,10,1),Registro!$B$5:$B$804,"Italiaonline")+COUNTIFS(Registro!$A$5:$A$804,"&gt;="&amp;DATE(2026,9,1),Registro!$A$5:$A$804,"&lt;"&amp;DATE(2026,10,1),Registro!$B$5:$B$804,"PgCasa (Italiaonline)")</f>
        <v>2</v>
      </c>
      <c r="D126" s="12" t="n">
        <f aca="false">COUNTIFS(Registro!$A$5:$A$804,"&gt;="&amp;DATE(2026,9,1),Registro!$A$5:$A$804,"&lt;"&amp;DATE(2026,10,1),Registro!$M$5:$M$804,"PRESO")</f>
        <v>0</v>
      </c>
      <c r="E126" s="12" t="n">
        <f aca="false">COUNTIFS(Registro!$A$5:$A$804,"&gt;="&amp;DATE(2026,9,1),Registro!$A$5:$A$804,"&lt;"&amp;DATE(2026,10,1),Registro!$M$5:$M$804,"NON PRESO")</f>
        <v>0</v>
      </c>
    </row>
    <row r="127" customFormat="false" ht="15" hidden="false" customHeight="false" outlineLevel="0" collapsed="false">
      <c r="A127" s="12" t="s">
        <v>147</v>
      </c>
      <c r="B127" s="12" t="n">
        <f aca="false">COUNTIFS(Registro!$A$5:$A$804,"&gt;="&amp;DATE(2026,10,1),Registro!$A$5:$A$804,"&lt;"&amp;DATE(2026,11,1))</f>
        <v>0</v>
      </c>
      <c r="C127" s="12" t="n">
        <f aca="false">COUNTIFS(Registro!$A$5:$A$804,"&gt;="&amp;DATE(2026,10,1),Registro!$A$5:$A$804,"&lt;"&amp;DATE(2026,11,1),Registro!$B$5:$B$804,"Italiaonline")+COUNTIFS(Registro!$A$5:$A$804,"&gt;="&amp;DATE(2026,10,1),Registro!$A$5:$A$804,"&lt;"&amp;DATE(2026,11,1),Registro!$B$5:$B$804,"PgCasa (Italiaonline)")</f>
        <v>0</v>
      </c>
      <c r="D127" s="12" t="n">
        <f aca="false">COUNTIFS(Registro!$A$5:$A$804,"&gt;="&amp;DATE(2026,10,1),Registro!$A$5:$A$804,"&lt;"&amp;DATE(2026,11,1),Registro!$M$5:$M$804,"PRESO")</f>
        <v>0</v>
      </c>
      <c r="E127" s="12" t="n">
        <f aca="false">COUNTIFS(Registro!$A$5:$A$804,"&gt;="&amp;DATE(2026,10,1),Registro!$A$5:$A$804,"&lt;"&amp;DATE(2026,11,1),Registro!$M$5:$M$804,"NON PRESO")</f>
        <v>0</v>
      </c>
    </row>
    <row r="128" customFormat="false" ht="15" hidden="false" customHeight="false" outlineLevel="0" collapsed="false">
      <c r="A128" s="12" t="s">
        <v>148</v>
      </c>
      <c r="B128" s="12" t="n">
        <f aca="false">COUNTIFS(Registro!$A$5:$A$804,"&gt;="&amp;DATE(2026,11,1),Registro!$A$5:$A$804,"&lt;"&amp;DATE(2026,12,1))</f>
        <v>0</v>
      </c>
      <c r="C128" s="12" t="n">
        <f aca="false">COUNTIFS(Registro!$A$5:$A$804,"&gt;="&amp;DATE(2026,11,1),Registro!$A$5:$A$804,"&lt;"&amp;DATE(2026,12,1),Registro!$B$5:$B$804,"Italiaonline")+COUNTIFS(Registro!$A$5:$A$804,"&gt;="&amp;DATE(2026,11,1),Registro!$A$5:$A$804,"&lt;"&amp;DATE(2026,12,1),Registro!$B$5:$B$804,"PgCasa (Italiaonline)")</f>
        <v>0</v>
      </c>
      <c r="D128" s="12" t="n">
        <f aca="false">COUNTIFS(Registro!$A$5:$A$804,"&gt;="&amp;DATE(2026,11,1),Registro!$A$5:$A$804,"&lt;"&amp;DATE(2026,12,1),Registro!$M$5:$M$804,"PRESO")</f>
        <v>0</v>
      </c>
      <c r="E128" s="12" t="n">
        <f aca="false">COUNTIFS(Registro!$A$5:$A$804,"&gt;="&amp;DATE(2026,11,1),Registro!$A$5:$A$804,"&lt;"&amp;DATE(2026,12,1),Registro!$M$5:$M$804,"NON PRESO")</f>
        <v>0</v>
      </c>
    </row>
    <row r="129" customFormat="false" ht="15" hidden="false" customHeight="false" outlineLevel="0" collapsed="false">
      <c r="A129" s="12" t="s">
        <v>149</v>
      </c>
      <c r="B129" s="12" t="n">
        <f aca="false">COUNTIFS(Registro!$A$5:$A$804,"&gt;="&amp;DATE(2026,12,1),Registro!$A$5:$A$804,"&lt;"&amp;DATE(2027,1,1))</f>
        <v>0</v>
      </c>
      <c r="C129" s="12" t="n">
        <f aca="false">COUNTIFS(Registro!$A$5:$A$804,"&gt;="&amp;DATE(2026,12,1),Registro!$A$5:$A$804,"&lt;"&amp;DATE(2027,1,1),Registro!$B$5:$B$804,"Italiaonline")+COUNTIFS(Registro!$A$5:$A$804,"&gt;="&amp;DATE(2026,12,1),Registro!$A$5:$A$804,"&lt;"&amp;DATE(2027,1,1),Registro!$B$5:$B$804,"PgCasa (Italiaonline)")</f>
        <v>0</v>
      </c>
      <c r="D129" s="12" t="n">
        <f aca="false">COUNTIFS(Registro!$A$5:$A$804,"&gt;="&amp;DATE(2026,12,1),Registro!$A$5:$A$804,"&lt;"&amp;DATE(2027,1,1),Registro!$M$5:$M$804,"PRESO")</f>
        <v>0</v>
      </c>
      <c r="E129" s="12" t="n">
        <f aca="false">COUNTIFS(Registro!$A$5:$A$804,"&gt;="&amp;DATE(2026,12,1),Registro!$A$5:$A$804,"&lt;"&amp;DATE(2027,1,1),Registro!$M$5:$M$804,"NON PRESO")</f>
        <v>0</v>
      </c>
    </row>
    <row r="130" customFormat="false" ht="15" hidden="false" customHeight="false" outlineLevel="0" collapsed="false">
      <c r="A130" s="12" t="s">
        <v>150</v>
      </c>
      <c r="B130" s="12" t="n">
        <f aca="false">COUNTIF(Registro!$A$5:$A$804,"&lt;"&amp;DATE(2026,1,1))</f>
        <v>5</v>
      </c>
    </row>
    <row r="132" customFormat="false" ht="15" hidden="false" customHeight="false" outlineLevel="0" collapsed="false">
      <c r="A132" s="10" t="s">
        <v>151</v>
      </c>
    </row>
    <row r="133" customFormat="false" ht="15" hidden="false" customHeight="false" outlineLevel="0" collapsed="false">
      <c r="A133" s="18" t="s">
        <v>152</v>
      </c>
      <c r="B133" s="18" t="s">
        <v>153</v>
      </c>
      <c r="C133" s="18" t="s">
        <v>154</v>
      </c>
    </row>
    <row r="134" customFormat="false" ht="15" hidden="false" customHeight="false" outlineLevel="0" collapsed="false">
      <c r="A134" s="12" t="s">
        <v>155</v>
      </c>
      <c r="B134" s="12" t="n">
        <f aca="false">COUNTIFS(Registro!$N$5:$N$804,$A134,Registro!$M$5:$M$804,"NON PRESO")</f>
        <v>0</v>
      </c>
      <c r="C134" s="13" t="n">
        <f aca="false">IFERROR(B134/$B$6,0)</f>
        <v>0</v>
      </c>
    </row>
    <row r="135" customFormat="false" ht="15" hidden="false" customHeight="false" outlineLevel="0" collapsed="false">
      <c r="A135" s="12" t="s">
        <v>156</v>
      </c>
      <c r="B135" s="12" t="n">
        <f aca="false">COUNTIFS(Registro!$N$5:$N$804,$A135,Registro!$M$5:$M$804,"NON PRESO")</f>
        <v>0</v>
      </c>
      <c r="C135" s="13" t="n">
        <f aca="false">IFERROR(B135/$B$6,0)</f>
        <v>0</v>
      </c>
    </row>
    <row r="136" customFormat="false" ht="15" hidden="false" customHeight="false" outlineLevel="0" collapsed="false">
      <c r="A136" s="12" t="s">
        <v>157</v>
      </c>
      <c r="B136" s="12" t="n">
        <f aca="false">COUNTIFS(Registro!$N$5:$N$804,$A136,Registro!$M$5:$M$804,"NON PRESO")</f>
        <v>0</v>
      </c>
      <c r="C136" s="13" t="n">
        <f aca="false">IFERROR(B136/$B$6,0)</f>
        <v>0</v>
      </c>
    </row>
    <row r="137" customFormat="false" ht="15" hidden="false" customHeight="false" outlineLevel="0" collapsed="false">
      <c r="A137" s="12" t="s">
        <v>158</v>
      </c>
      <c r="B137" s="12" t="n">
        <f aca="false">COUNTIFS(Registro!$N$5:$N$804,$A137,Registro!$M$5:$M$804,"NON PRESO")</f>
        <v>0</v>
      </c>
      <c r="C137" s="13" t="n">
        <f aca="false">IFERROR(B137/$B$6,0)</f>
        <v>0</v>
      </c>
    </row>
    <row r="138" customFormat="false" ht="15" hidden="false" customHeight="false" outlineLevel="0" collapsed="false">
      <c r="A138" s="12" t="s">
        <v>159</v>
      </c>
      <c r="B138" s="12" t="n">
        <f aca="false">COUNTIFS(Registro!$N$5:$N$804,$A138,Registro!$M$5:$M$804,"NON PRESO")</f>
        <v>0</v>
      </c>
      <c r="C138" s="13" t="n">
        <f aca="false">IFERROR(B138/$B$6,0)</f>
        <v>0</v>
      </c>
    </row>
    <row r="139" customFormat="false" ht="15" hidden="false" customHeight="false" outlineLevel="0" collapsed="false">
      <c r="A139" s="12" t="s">
        <v>160</v>
      </c>
      <c r="B139" s="12" t="n">
        <f aca="false">COUNTIFS(Registro!$N$5:$N$804,$A139,Registro!$M$5:$M$804,"NON PRESO")</f>
        <v>0</v>
      </c>
      <c r="C139" s="13" t="n">
        <f aca="false">IFERROR(B139/$B$6,0)</f>
        <v>0</v>
      </c>
    </row>
    <row r="140" customFormat="false" ht="15" hidden="false" customHeight="false" outlineLevel="0" collapsed="false">
      <c r="A140" s="12" t="s">
        <v>161</v>
      </c>
      <c r="B140" s="12" t="n">
        <f aca="false">COUNTIFS(Registro!$N$5:$N$804,$A140,Registro!$M$5:$M$804,"NON PRESO")</f>
        <v>0</v>
      </c>
      <c r="C140" s="13" t="n">
        <f aca="false">IFERROR(B140/$B$6,0)</f>
        <v>0</v>
      </c>
    </row>
    <row r="141" customFormat="false" ht="15" hidden="false" customHeight="false" outlineLevel="0" collapsed="false">
      <c r="A141" s="12" t="s">
        <v>162</v>
      </c>
      <c r="B141" s="12" t="n">
        <f aca="false">COUNTIFS(Registro!$N$5:$N$804,$A141,Registro!$M$5:$M$804,"NON PRESO")</f>
        <v>0</v>
      </c>
      <c r="C141" s="13" t="n">
        <f aca="false">IFERROR(B141/$B$6,0)</f>
        <v>0</v>
      </c>
    </row>
    <row r="142" customFormat="false" ht="15" hidden="false" customHeight="false" outlineLevel="0" collapsed="false">
      <c r="A142" s="12" t="s">
        <v>163</v>
      </c>
      <c r="B142" s="12" t="n">
        <f aca="false">COUNTIFS(Registro!$N$5:$N$804,$A142,Registro!$M$5:$M$804,"NON PRESO")</f>
        <v>0</v>
      </c>
      <c r="C142" s="13" t="n">
        <f aca="false">IFERROR(B142/$B$6,0)</f>
        <v>0</v>
      </c>
    </row>
    <row r="143" customFormat="false" ht="15" hidden="false" customHeight="false" outlineLevel="0" collapsed="false">
      <c r="A143" s="12" t="s">
        <v>164</v>
      </c>
      <c r="B143" s="12" t="n">
        <f aca="false">COUNTIFS(Registro!$N$5:$N$804,$A143,Registro!$M$5:$M$804,"NON PRESO")</f>
        <v>0</v>
      </c>
      <c r="C143" s="13" t="n">
        <f aca="false">IFERROR(B143/$B$6,0)</f>
        <v>0</v>
      </c>
    </row>
    <row r="144" customFormat="false" ht="15" hidden="false" customHeight="false" outlineLevel="0" collapsed="false">
      <c r="A144" s="12" t="s">
        <v>165</v>
      </c>
      <c r="B144" s="12" t="n">
        <f aca="false">COUNTIFS(Registro!$N$5:$N$804,$A144,Registro!$M$5:$M$804,"NON PRESO")</f>
        <v>0</v>
      </c>
      <c r="C144" s="13" t="n">
        <f aca="false">IFERROR(B144/$B$6,0)</f>
        <v>0</v>
      </c>
    </row>
    <row r="145" customFormat="false" ht="15" hidden="false" customHeight="false" outlineLevel="0" collapsed="false">
      <c r="A145" s="12" t="s">
        <v>166</v>
      </c>
      <c r="B145" s="12" t="n">
        <f aca="false">COUNTIFS(Registro!$N$5:$N$804,$A145,Registro!$M$5:$M$804,"NON PRESO")</f>
        <v>0</v>
      </c>
      <c r="C145" s="13" t="n">
        <f aca="false">IFERROR(B145/$B$6,0)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23.85" hidden="false" customHeight="false" outlineLevel="0" collapsed="false">
      <c r="A4" s="19" t="s">
        <v>169</v>
      </c>
      <c r="B4" s="19" t="s">
        <v>170</v>
      </c>
      <c r="C4" s="19" t="s">
        <v>171</v>
      </c>
      <c r="D4" s="19" t="s">
        <v>172</v>
      </c>
      <c r="E4" s="19" t="s">
        <v>173</v>
      </c>
      <c r="F4" s="19" t="s">
        <v>174</v>
      </c>
      <c r="G4" s="19" t="s">
        <v>175</v>
      </c>
      <c r="H4" s="19" t="s">
        <v>176</v>
      </c>
    </row>
    <row r="5" customFormat="false" ht="32.8" hidden="false" customHeight="false" outlineLevel="0" collapsed="false">
      <c r="A5" s="4" t="s">
        <v>177</v>
      </c>
      <c r="B5" s="5" t="s">
        <v>178</v>
      </c>
      <c r="C5" s="5" t="s">
        <v>179</v>
      </c>
      <c r="D5" s="5" t="s">
        <v>180</v>
      </c>
      <c r="E5" s="20" t="n">
        <v>7092.44</v>
      </c>
      <c r="F5" s="5" t="n">
        <f aca="false">COUNTIFS(Registro!$B$5:$B$804,"Italiaonline",Registro!$A$5:$A$804,"&gt;="&amp;DATE(2026,1,1))+COUNTIFS(Registro!$B$5:$B$804,"PgCasa (Italiaonline)",Registro!$A$5:$A$804,"&gt;="&amp;DATE(2026,1,1))</f>
        <v>51</v>
      </c>
      <c r="G5" s="20" t="n">
        <f aca="false">IF(OR(E5="",E5=0),"",IFERROR(E5/F5,"nessun contatto"))</f>
        <v>139.067450980392</v>
      </c>
    </row>
    <row r="6" customFormat="false" ht="22.35" hidden="false" customHeight="false" outlineLevel="0" collapsed="false">
      <c r="A6" s="4" t="s">
        <v>181</v>
      </c>
      <c r="B6" s="5" t="s">
        <v>182</v>
      </c>
      <c r="C6" s="5" t="s">
        <v>183</v>
      </c>
      <c r="D6" s="5" t="s">
        <v>184</v>
      </c>
      <c r="E6" s="20" t="n">
        <v>0</v>
      </c>
      <c r="F6" s="5" t="n">
        <f aca="false">COUNTIFS(Registro!$B$5:$B$804,"Internet",Registro!$A$5:$A$804,"&gt;="&amp;DATE(2026,1,1))+COUNTIFS(Registro!$B$5:$B$804,"Pagine Gialle",Registro!$A$5:$A$804,"&gt;="&amp;DATE(2026,1,1))</f>
        <v>38</v>
      </c>
      <c r="G6" s="20" t="str">
        <f aca="false">IF(OR(E6="",E6=0),"",IFERROR(E6/F6,"nessun contatto"))</f>
        <v/>
      </c>
    </row>
    <row r="7" customFormat="false" ht="22.35" hidden="false" customHeight="false" outlineLevel="0" collapsed="false">
      <c r="A7" s="21" t="s">
        <v>185</v>
      </c>
      <c r="B7" s="22"/>
      <c r="C7" s="22"/>
      <c r="D7" s="22"/>
      <c r="E7" s="23" t="n">
        <f aca="false">E5+E6</f>
        <v>7092.44</v>
      </c>
      <c r="F7" s="22" t="n">
        <f aca="false">F5+F6</f>
        <v>89</v>
      </c>
      <c r="G7" s="23" t="n">
        <f aca="false">IF(OR(E7="",E7=0),"",IFERROR(E7/F7,"nessun contatto"))</f>
        <v>79.6903370786517</v>
      </c>
      <c r="H7" s="22"/>
    </row>
    <row r="8" customFormat="false" ht="22.35" hidden="false" customHeight="false" outlineLevel="0" collapsed="false">
      <c r="A8" s="4" t="s">
        <v>186</v>
      </c>
      <c r="B8" s="5" t="s">
        <v>187</v>
      </c>
      <c r="C8" s="5" t="s">
        <v>188</v>
      </c>
      <c r="D8" s="5" t="s">
        <v>189</v>
      </c>
      <c r="E8" s="20" t="n">
        <v>2185</v>
      </c>
      <c r="F8" s="5" t="n">
        <f aca="false">COUNTIFS(Registro!$T$5:$T$804,"Genova",Registro!$A$5:$A$804,"&gt;="&amp;DATE(2026,1,1))</f>
        <v>7</v>
      </c>
      <c r="G8" s="20" t="n">
        <f aca="false">IF(OR(E8="",E8=0),"",IFERROR(E8/F8,"nessun contatto"))</f>
        <v>312.142857142857</v>
      </c>
    </row>
    <row r="9" customFormat="false" ht="22.35" hidden="false" customHeight="false" outlineLevel="0" collapsed="false">
      <c r="A9" s="4" t="s">
        <v>190</v>
      </c>
      <c r="B9" s="5" t="s">
        <v>191</v>
      </c>
      <c r="C9" s="5" t="s">
        <v>192</v>
      </c>
      <c r="D9" s="5" t="s">
        <v>193</v>
      </c>
      <c r="E9" s="20"/>
      <c r="F9" s="5" t="n">
        <f aca="false">COUNTIFS(Registro!$T$5:$T$804,"Imperia",Registro!$A$5:$A$804,"&gt;="&amp;DATE(2026,1,1))</f>
        <v>8</v>
      </c>
      <c r="G9" s="20" t="str">
        <f aca="false">IF(OR(E9="",E9=0),"",IFERROR(E9/F9,"nessun contatto"))</f>
        <v/>
      </c>
    </row>
    <row r="10" customFormat="false" ht="32.8" hidden="false" customHeight="false" outlineLevel="0" collapsed="false">
      <c r="A10" s="4" t="s">
        <v>194</v>
      </c>
      <c r="B10" s="5" t="s">
        <v>195</v>
      </c>
      <c r="C10" s="5" t="s">
        <v>196</v>
      </c>
      <c r="D10" s="5" t="s">
        <v>197</v>
      </c>
      <c r="E10" s="20" t="n">
        <f aca="false">'Striscioni vs chiamate'!D22</f>
        <v>7300</v>
      </c>
      <c r="F10" s="5" t="n">
        <f aca="false">COUNTIFS(Registro!$T$5:$T$804,"&lt;&gt;Zone senza striscioni/cartelloni",Registro!$T$5:$T$804,"&lt;&gt;Genova",Registro!$A$5:$A$804,"&gt;="&amp;DATE(2026,1,1))</f>
        <v>42</v>
      </c>
      <c r="G10" s="20" t="n">
        <f aca="false">IF(OR(E10="",E10=0),"",IFERROR(E10/F10,"nessun contatto"))</f>
        <v>173.809523809524</v>
      </c>
    </row>
    <row r="11" customFormat="false" ht="15" hidden="false" customHeight="false" outlineLevel="0" collapsed="false">
      <c r="A11" s="4" t="s">
        <v>198</v>
      </c>
      <c r="B11" s="5" t="s">
        <v>199</v>
      </c>
      <c r="C11" s="5" t="s">
        <v>200</v>
      </c>
      <c r="D11" s="5" t="s">
        <v>184</v>
      </c>
      <c r="E11" s="20" t="n">
        <v>0</v>
      </c>
      <c r="F11" s="5" t="n">
        <f aca="false">COUNTIFS(Registro!$B$5:$B$804,"Pubblicità Automezzi",Registro!$A$5:$A$804,"&gt;="&amp;DATE(2026,1,1))</f>
        <v>1</v>
      </c>
      <c r="G11" s="20" t="str">
        <f aca="false">IF(OR(E11="",E11=0),"",IFERROR(E11/F11,"nessun contatto"))</f>
        <v/>
      </c>
    </row>
    <row r="12" customFormat="false" ht="15" hidden="false" customHeight="false" outlineLevel="0" collapsed="false">
      <c r="A12" s="4" t="s">
        <v>67</v>
      </c>
      <c r="B12" s="5" t="s">
        <v>201</v>
      </c>
      <c r="C12" s="5" t="s">
        <v>202</v>
      </c>
      <c r="D12" s="5" t="s">
        <v>201</v>
      </c>
      <c r="E12" s="20"/>
      <c r="F12" s="5" t="n">
        <f aca="false">COUNTIFS(Registro!$B$5:$B$804,"Bus",Registro!$A$5:$A$804,"&gt;="&amp;DATE(2026,1,1))</f>
        <v>1</v>
      </c>
      <c r="G12" s="20" t="str">
        <f aca="false">IF(OR(E12="",E12=0),"",IFERROR(E12/F12,"nessun contatto"))</f>
        <v/>
      </c>
    </row>
    <row r="13" customFormat="false" ht="15" hidden="false" customHeight="false" outlineLevel="0" collapsed="false">
      <c r="A13" s="4" t="s">
        <v>203</v>
      </c>
      <c r="B13" s="5" t="s">
        <v>199</v>
      </c>
      <c r="C13" s="5" t="s">
        <v>204</v>
      </c>
      <c r="D13" s="5" t="s">
        <v>201</v>
      </c>
      <c r="E13" s="20"/>
      <c r="F13" s="5" t="n">
        <f aca="false">COUNTIFS(Registro!$B$5:$B$804,"Manifesti deratt.",Registro!$A$5:$A$804,"&gt;="&amp;DATE(2026,1,1))</f>
        <v>1</v>
      </c>
      <c r="G13" s="20" t="str">
        <f aca="false">IF(OR(E13="",E13=0),"",IFERROR(E13/F13,"nessun contatto"))</f>
        <v/>
      </c>
    </row>
    <row r="14" customFormat="false" ht="15" hidden="false" customHeight="false" outlineLevel="0" collapsed="false">
      <c r="A14" s="4" t="s">
        <v>205</v>
      </c>
      <c r="B14" s="5" t="s">
        <v>201</v>
      </c>
      <c r="C14" s="5" t="s">
        <v>206</v>
      </c>
      <c r="D14" s="5" t="s">
        <v>201</v>
      </c>
      <c r="E14" s="20"/>
      <c r="F14" s="5" t="n">
        <f aca="false">COUNTIFS(Registro!$B$5:$B$804,"Quotidiani Online",Registro!$A$5:$A$804,"&gt;="&amp;DATE(2026,1,1))</f>
        <v>2</v>
      </c>
      <c r="G14" s="20" t="str">
        <f aca="false">IF(OR(E14="",E14=0),"",IFERROR(E14/F14,"nessun contatto"))</f>
        <v/>
      </c>
    </row>
    <row r="15" customFormat="false" ht="15" hidden="false" customHeight="false" outlineLevel="0" collapsed="false">
      <c r="A15" s="4" t="s">
        <v>66</v>
      </c>
      <c r="B15" s="5" t="s">
        <v>201</v>
      </c>
      <c r="C15" s="5" t="s">
        <v>207</v>
      </c>
      <c r="D15" s="5" t="s">
        <v>201</v>
      </c>
      <c r="E15" s="20"/>
      <c r="F15" s="5" t="n">
        <f aca="false">COUNTIFS(Registro!$B$5:$B$804,"Imprese Ambiente",Registro!$A$5:$A$804,"&gt;="&amp;DATE(2026,1,1))</f>
        <v>1</v>
      </c>
      <c r="G15" s="20" t="str">
        <f aca="false">IF(OR(E15="",E15=0),"",IFERROR(E15/F15,"nessun contatto"))</f>
        <v/>
      </c>
    </row>
    <row r="16" customFormat="false" ht="15" hidden="false" customHeight="false" outlineLevel="0" collapsed="false">
      <c r="A16" s="4" t="s">
        <v>61</v>
      </c>
      <c r="B16" s="5" t="s">
        <v>201</v>
      </c>
      <c r="C16" s="5" t="s">
        <v>208</v>
      </c>
      <c r="D16" s="5" t="s">
        <v>184</v>
      </c>
      <c r="E16" s="20" t="n">
        <v>0</v>
      </c>
      <c r="F16" s="5" t="n">
        <f aca="false">COUNTIFS(Registro!$B$5:$B$804,"Passaparola",Registro!$A$5:$A$804,"&gt;="&amp;DATE(2026,1,1))</f>
        <v>83</v>
      </c>
      <c r="G16" s="20" t="str">
        <f aca="false">IF(OR(E16="",E16=0),"",IFERROR(E16/F16,"nessun contatto"))</f>
        <v/>
      </c>
    </row>
    <row r="18" customFormat="false" ht="15" hidden="false" customHeight="false" outlineLevel="0" collapsed="false">
      <c r="A18" s="10" t="s">
        <v>209</v>
      </c>
    </row>
    <row r="19" customFormat="false" ht="15" hidden="false" customHeight="false" outlineLevel="0" collapsed="false">
      <c r="A19" s="18" t="s">
        <v>210</v>
      </c>
      <c r="B19" s="18" t="s">
        <v>211</v>
      </c>
      <c r="C19" s="18" t="s">
        <v>212</v>
      </c>
      <c r="D19" s="18" t="s">
        <v>213</v>
      </c>
    </row>
    <row r="20" customFormat="false" ht="15" hidden="false" customHeight="false" outlineLevel="0" collapsed="false">
      <c r="A20" s="12" t="s">
        <v>214</v>
      </c>
      <c r="B20" s="24" t="n">
        <v>13669.79</v>
      </c>
      <c r="C20" s="24" t="n">
        <v>3041059.46</v>
      </c>
      <c r="D20" s="25" t="n">
        <f aca="false">B20/C20</f>
        <v>0.00449507488419842</v>
      </c>
    </row>
    <row r="21" customFormat="false" ht="15" hidden="false" customHeight="false" outlineLevel="0" collapsed="false">
      <c r="A21" s="12" t="s">
        <v>215</v>
      </c>
      <c r="B21" s="24" t="n">
        <v>29322.1</v>
      </c>
      <c r="C21" s="24" t="n">
        <v>2737076.73</v>
      </c>
      <c r="D21" s="25" t="n">
        <f aca="false">B21/C21</f>
        <v>0.0107129258301794</v>
      </c>
    </row>
    <row r="22" customFormat="false" ht="15" hidden="false" customHeight="false" outlineLevel="0" collapsed="false">
      <c r="A22" s="12" t="s">
        <v>216</v>
      </c>
      <c r="B22" s="24" t="n">
        <v>22795.01</v>
      </c>
      <c r="C22" s="24" t="n">
        <v>2351764.96</v>
      </c>
      <c r="D22" s="25" t="n">
        <f aca="false">B22/C22</f>
        <v>0.00969272456546848</v>
      </c>
    </row>
    <row r="23" customFormat="false" ht="15" hidden="false" customHeight="false" outlineLevel="0" collapsed="false">
      <c r="A23" s="26" t="s">
        <v>217</v>
      </c>
      <c r="B23" s="27" t="n">
        <f aca="false">7999.94+E8</f>
        <v>10184.94</v>
      </c>
      <c r="E23" s="28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35.05" hidden="false" customHeight="false" outlineLevel="0" collapsed="false">
      <c r="A4" s="19" t="s">
        <v>221</v>
      </c>
      <c r="B4" s="19" t="s">
        <v>172</v>
      </c>
      <c r="C4" s="19" t="s">
        <v>222</v>
      </c>
      <c r="D4" s="19" t="s">
        <v>223</v>
      </c>
      <c r="E4" s="19" t="s">
        <v>224</v>
      </c>
      <c r="F4" s="19" t="s">
        <v>225</v>
      </c>
      <c r="G4" s="19" t="s">
        <v>226</v>
      </c>
      <c r="H4" s="19" t="s">
        <v>227</v>
      </c>
      <c r="I4" s="19" t="s">
        <v>228</v>
      </c>
      <c r="J4" s="19" t="s">
        <v>229</v>
      </c>
    </row>
    <row r="5" customFormat="false" ht="15" hidden="false" customHeight="false" outlineLevel="0" collapsed="false">
      <c r="A5" s="4" t="s">
        <v>230</v>
      </c>
      <c r="B5" s="5" t="s">
        <v>231</v>
      </c>
      <c r="C5" s="5" t="s">
        <v>232</v>
      </c>
      <c r="D5" s="20" t="n">
        <v>250</v>
      </c>
      <c r="E5" s="5" t="s">
        <v>233</v>
      </c>
      <c r="F5" s="5" t="s">
        <v>234</v>
      </c>
      <c r="G5" s="5" t="s">
        <v>235</v>
      </c>
      <c r="H5" s="5" t="s">
        <v>236</v>
      </c>
      <c r="I5" s="5" t="n">
        <f aca="false">COUNTIFS(Registro!$T$5:$T$804,H5,Registro!$A$5:$A$804,"&gt;="&amp;DATE(2026,1,1))</f>
        <v>14</v>
      </c>
      <c r="J5" s="5" t="n">
        <v>0</v>
      </c>
    </row>
    <row r="6" customFormat="false" ht="15" hidden="false" customHeight="false" outlineLevel="0" collapsed="false">
      <c r="A6" s="4" t="s">
        <v>237</v>
      </c>
      <c r="B6" s="5" t="s">
        <v>238</v>
      </c>
      <c r="C6" s="5" t="s">
        <v>239</v>
      </c>
      <c r="D6" s="20" t="n">
        <v>0</v>
      </c>
      <c r="E6" s="5" t="s">
        <v>233</v>
      </c>
      <c r="F6" s="5" t="s">
        <v>240</v>
      </c>
      <c r="G6" s="5" t="s">
        <v>235</v>
      </c>
      <c r="H6" s="5" t="s">
        <v>236</v>
      </c>
      <c r="I6" s="5" t="n">
        <f aca="false">COUNTIFS(Registro!$T$5:$T$804,H6,Registro!$A$5:$A$804,"&gt;="&amp;DATE(2026,1,1))</f>
        <v>14</v>
      </c>
      <c r="J6" s="5" t="n">
        <v>0</v>
      </c>
    </row>
    <row r="7" customFormat="false" ht="15" hidden="false" customHeight="false" outlineLevel="0" collapsed="false">
      <c r="A7" s="4" t="s">
        <v>241</v>
      </c>
      <c r="B7" s="5" t="s">
        <v>242</v>
      </c>
      <c r="C7" s="5" t="s">
        <v>243</v>
      </c>
      <c r="D7" s="20" t="n">
        <v>300</v>
      </c>
      <c r="E7" s="5" t="s">
        <v>244</v>
      </c>
      <c r="F7" s="5" t="s">
        <v>245</v>
      </c>
      <c r="G7" s="5" t="s">
        <v>235</v>
      </c>
      <c r="H7" s="5" t="s">
        <v>236</v>
      </c>
      <c r="I7" s="5" t="n">
        <f aca="false">COUNTIFS(Registro!$T$5:$T$804,H7,Registro!$A$5:$A$804,"&gt;="&amp;DATE(2026,1,1))</f>
        <v>14</v>
      </c>
      <c r="J7" s="5" t="n">
        <v>0</v>
      </c>
    </row>
    <row r="8" customFormat="false" ht="22.35" hidden="false" customHeight="false" outlineLevel="0" collapsed="false">
      <c r="A8" s="4" t="s">
        <v>246</v>
      </c>
      <c r="B8" s="5" t="s">
        <v>247</v>
      </c>
      <c r="C8" s="5" t="s">
        <v>248</v>
      </c>
      <c r="D8" s="20" t="n">
        <v>700</v>
      </c>
      <c r="E8" s="5" t="s">
        <v>249</v>
      </c>
      <c r="F8" s="5" t="s">
        <v>250</v>
      </c>
      <c r="G8" s="5" t="s">
        <v>235</v>
      </c>
      <c r="H8" s="5" t="s">
        <v>236</v>
      </c>
      <c r="I8" s="5" t="n">
        <f aca="false">COUNTIFS(Registro!$T$5:$T$804,H8,Registro!$A$5:$A$804,"&gt;="&amp;DATE(2026,1,1))</f>
        <v>14</v>
      </c>
      <c r="J8" s="5" t="n">
        <v>0</v>
      </c>
    </row>
    <row r="9" customFormat="false" ht="15" hidden="false" customHeight="false" outlineLevel="0" collapsed="false">
      <c r="A9" s="4" t="s">
        <v>230</v>
      </c>
      <c r="B9" s="5" t="s">
        <v>251</v>
      </c>
      <c r="C9" s="5" t="s">
        <v>252</v>
      </c>
      <c r="D9" s="20" t="n">
        <v>250</v>
      </c>
      <c r="E9" s="5" t="s">
        <v>244</v>
      </c>
      <c r="F9" s="5" t="s">
        <v>253</v>
      </c>
      <c r="G9" s="5" t="s">
        <v>235</v>
      </c>
      <c r="H9" s="5" t="s">
        <v>236</v>
      </c>
      <c r="I9" s="5" t="n">
        <f aca="false">COUNTIFS(Registro!$T$5:$T$804,H9,Registro!$A$5:$A$804,"&gt;="&amp;DATE(2026,1,1))</f>
        <v>14</v>
      </c>
      <c r="J9" s="5" t="n">
        <v>0</v>
      </c>
    </row>
    <row r="10" customFormat="false" ht="15" hidden="false" customHeight="false" outlineLevel="0" collapsed="false">
      <c r="A10" s="4" t="s">
        <v>254</v>
      </c>
      <c r="B10" s="5" t="s">
        <v>255</v>
      </c>
      <c r="C10" s="5" t="s">
        <v>256</v>
      </c>
      <c r="D10" s="20" t="n">
        <v>300</v>
      </c>
      <c r="E10" s="5" t="s">
        <v>257</v>
      </c>
      <c r="F10" s="5" t="s">
        <v>258</v>
      </c>
      <c r="G10" s="5" t="s">
        <v>235</v>
      </c>
      <c r="H10" s="5" t="s">
        <v>193</v>
      </c>
      <c r="I10" s="5" t="n">
        <f aca="false">COUNTIFS(Registro!$T$5:$T$804,H10,Registro!$A$5:$A$804,"&gt;="&amp;DATE(2026,1,1))</f>
        <v>8</v>
      </c>
      <c r="J10" s="5" t="n">
        <v>0</v>
      </c>
    </row>
    <row r="11" customFormat="false" ht="15" hidden="false" customHeight="false" outlineLevel="0" collapsed="false">
      <c r="A11" s="4" t="s">
        <v>259</v>
      </c>
      <c r="B11" s="5" t="s">
        <v>260</v>
      </c>
      <c r="C11" s="5" t="s">
        <v>261</v>
      </c>
      <c r="D11" s="20" t="n">
        <v>250</v>
      </c>
      <c r="E11" s="5" t="s">
        <v>244</v>
      </c>
      <c r="F11" s="5" t="s">
        <v>262</v>
      </c>
      <c r="G11" s="5" t="s">
        <v>263</v>
      </c>
      <c r="H11" s="5" t="s">
        <v>264</v>
      </c>
      <c r="I11" s="5" t="n">
        <f aca="false">COUNTIFS(Registro!$T$5:$T$804,H11,Registro!$A$5:$A$804,"&gt;="&amp;DATE(2026,1,1))</f>
        <v>16</v>
      </c>
      <c r="J11" s="5" t="n">
        <v>0</v>
      </c>
    </row>
    <row r="12" customFormat="false" ht="22.35" hidden="false" customHeight="false" outlineLevel="0" collapsed="false">
      <c r="A12" s="4" t="s">
        <v>265</v>
      </c>
      <c r="B12" s="5" t="s">
        <v>266</v>
      </c>
      <c r="C12" s="5" t="s">
        <v>267</v>
      </c>
      <c r="D12" s="20" t="n">
        <v>250</v>
      </c>
      <c r="E12" s="5" t="s">
        <v>244</v>
      </c>
      <c r="F12" s="5" t="s">
        <v>268</v>
      </c>
      <c r="G12" s="5" t="s">
        <v>269</v>
      </c>
      <c r="H12" s="5" t="s">
        <v>264</v>
      </c>
      <c r="I12" s="5" t="n">
        <f aca="false">COUNTIFS(Registro!$T$5:$T$804,H12,Registro!$A$5:$A$804,"&gt;="&amp;DATE(2026,1,1))</f>
        <v>16</v>
      </c>
      <c r="J12" s="5" t="n">
        <v>0</v>
      </c>
    </row>
    <row r="13" customFormat="false" ht="15" hidden="false" customHeight="false" outlineLevel="0" collapsed="false">
      <c r="A13" s="4" t="s">
        <v>270</v>
      </c>
      <c r="B13" s="5" t="s">
        <v>271</v>
      </c>
      <c r="C13" s="5" t="s">
        <v>272</v>
      </c>
      <c r="D13" s="20"/>
      <c r="E13" s="5" t="s">
        <v>257</v>
      </c>
      <c r="F13" s="5" t="s">
        <v>273</v>
      </c>
      <c r="G13" s="5" t="s">
        <v>269</v>
      </c>
      <c r="H13" s="5" t="s">
        <v>264</v>
      </c>
      <c r="I13" s="5" t="n">
        <f aca="false">COUNTIFS(Registro!$T$5:$T$804,H13,Registro!$A$5:$A$804,"&gt;="&amp;DATE(2026,1,1))</f>
        <v>16</v>
      </c>
      <c r="J13" s="5" t="n">
        <v>0</v>
      </c>
    </row>
    <row r="14" customFormat="false" ht="15" hidden="false" customHeight="false" outlineLevel="0" collapsed="false">
      <c r="A14" s="4" t="s">
        <v>274</v>
      </c>
      <c r="B14" s="5" t="s">
        <v>275</v>
      </c>
      <c r="C14" s="5" t="s">
        <v>276</v>
      </c>
      <c r="D14" s="20" t="n">
        <v>5000</v>
      </c>
      <c r="E14" s="5" t="s">
        <v>277</v>
      </c>
      <c r="F14" s="5" t="s">
        <v>278</v>
      </c>
      <c r="G14" s="5" t="s">
        <v>235</v>
      </c>
      <c r="H14" s="5" t="s">
        <v>279</v>
      </c>
      <c r="I14" s="5" t="n">
        <f aca="false">COUNTIFS(Registro!$T$5:$T$804,H14,Registro!$A$5:$A$804,"&gt;="&amp;DATE(2026,1,1))</f>
        <v>4</v>
      </c>
      <c r="J14" s="5" t="n">
        <v>0</v>
      </c>
    </row>
    <row r="15" customFormat="false" ht="15" hidden="false" customHeight="false" outlineLevel="0" collapsed="false">
      <c r="A15" s="4" t="s">
        <v>280</v>
      </c>
      <c r="B15" s="5" t="s">
        <v>281</v>
      </c>
      <c r="C15" s="5" t="s">
        <v>282</v>
      </c>
      <c r="D15" s="20"/>
      <c r="E15" s="5" t="s">
        <v>257</v>
      </c>
      <c r="F15" s="5" t="s">
        <v>283</v>
      </c>
      <c r="G15" s="5" t="s">
        <v>263</v>
      </c>
      <c r="H15" s="5" t="s">
        <v>284</v>
      </c>
      <c r="I15" s="5" t="n">
        <f aca="false">COUNTIFS(Registro!$T$5:$T$804,H15,Registro!$A$5:$A$804,"&gt;="&amp;DATE(2026,1,1))</f>
        <v>0</v>
      </c>
      <c r="J15" s="5" t="n">
        <v>0</v>
      </c>
    </row>
    <row r="16" customFormat="false" ht="15" hidden="false" customHeight="false" outlineLevel="0" collapsed="false">
      <c r="A16" s="4" t="s">
        <v>285</v>
      </c>
      <c r="B16" s="5" t="s">
        <v>189</v>
      </c>
      <c r="C16" s="5" t="s">
        <v>201</v>
      </c>
      <c r="D16" s="20"/>
      <c r="E16" s="5" t="s">
        <v>286</v>
      </c>
      <c r="F16" s="5" t="s">
        <v>287</v>
      </c>
      <c r="G16" s="5" t="s">
        <v>235</v>
      </c>
      <c r="H16" s="5" t="s">
        <v>189</v>
      </c>
      <c r="I16" s="5" t="n">
        <f aca="false">COUNTIFS(Registro!$T$5:$T$804,H16,Registro!$A$5:$A$804,"&gt;="&amp;DATE(2026,1,1))</f>
        <v>7</v>
      </c>
      <c r="J16" s="5" t="n">
        <v>0</v>
      </c>
    </row>
    <row r="17" customFormat="false" ht="15" hidden="false" customHeight="false" outlineLevel="0" collapsed="false">
      <c r="A17" s="4" t="s">
        <v>288</v>
      </c>
      <c r="B17" s="5" t="s">
        <v>289</v>
      </c>
      <c r="C17" s="5" t="s">
        <v>290</v>
      </c>
      <c r="D17" s="20" t="n">
        <v>1200</v>
      </c>
      <c r="E17" s="5" t="s">
        <v>291</v>
      </c>
      <c r="F17" s="5" t="s">
        <v>292</v>
      </c>
      <c r="G17" s="5" t="s">
        <v>201</v>
      </c>
      <c r="H17" s="5" t="s">
        <v>189</v>
      </c>
      <c r="I17" s="5" t="n">
        <f aca="false">COUNTIFS(Registro!$T$5:$T$804,H17,Registro!$A$5:$A$804,"&gt;="&amp;DATE(2026,1,1))</f>
        <v>7</v>
      </c>
      <c r="J17" s="5" t="n">
        <v>0</v>
      </c>
    </row>
    <row r="18" customFormat="false" ht="15" hidden="false" customHeight="false" outlineLevel="0" collapsed="false">
      <c r="A18" s="4" t="s">
        <v>293</v>
      </c>
      <c r="B18" s="5" t="s">
        <v>294</v>
      </c>
      <c r="C18" s="5" t="s">
        <v>295</v>
      </c>
      <c r="D18" s="20"/>
      <c r="E18" s="5" t="s">
        <v>216</v>
      </c>
      <c r="F18" s="5" t="s">
        <v>296</v>
      </c>
      <c r="G18" s="5" t="s">
        <v>297</v>
      </c>
      <c r="H18" s="5" t="s">
        <v>193</v>
      </c>
      <c r="I18" s="5" t="n">
        <f aca="false">COUNTIFS(Registro!$T$5:$T$804,H18,Registro!$A$5:$A$804,"&gt;="&amp;DATE(2026,1,1))</f>
        <v>8</v>
      </c>
      <c r="J18" s="5" t="n">
        <v>0</v>
      </c>
    </row>
    <row r="19" customFormat="false" ht="22.35" hidden="false" customHeight="false" outlineLevel="0" collapsed="false">
      <c r="A19" s="4" t="s">
        <v>293</v>
      </c>
      <c r="B19" s="5" t="s">
        <v>298</v>
      </c>
      <c r="C19" s="5" t="s">
        <v>299</v>
      </c>
      <c r="D19" s="20" t="n">
        <v>2185</v>
      </c>
      <c r="E19" s="5" t="s">
        <v>300</v>
      </c>
      <c r="F19" s="5" t="s">
        <v>301</v>
      </c>
      <c r="G19" s="5" t="s">
        <v>302</v>
      </c>
      <c r="H19" s="5" t="s">
        <v>189</v>
      </c>
      <c r="I19" s="5" t="n">
        <f aca="false">COUNTIFS(Registro!$T$5:$T$804,H19,Registro!$A$5:$A$804,"&gt;="&amp;DATE(2026,1,1))</f>
        <v>7</v>
      </c>
      <c r="J19" s="5" t="n">
        <v>0</v>
      </c>
    </row>
    <row r="20" customFormat="false" ht="22.35" hidden="false" customHeight="false" outlineLevel="0" collapsed="false">
      <c r="A20" s="4" t="s">
        <v>303</v>
      </c>
      <c r="B20" s="5" t="s">
        <v>304</v>
      </c>
      <c r="C20" s="5" t="s">
        <v>305</v>
      </c>
      <c r="D20" s="20" t="n">
        <v>3700</v>
      </c>
      <c r="E20" s="5" t="s">
        <v>216</v>
      </c>
      <c r="F20" s="5" t="s">
        <v>306</v>
      </c>
      <c r="G20" s="5" t="s">
        <v>307</v>
      </c>
      <c r="H20" s="5" t="s">
        <v>308</v>
      </c>
      <c r="I20" s="5" t="s">
        <v>309</v>
      </c>
      <c r="J20" s="5" t="n">
        <v>0</v>
      </c>
    </row>
    <row r="22" customFormat="false" ht="15" hidden="false" customHeight="false" outlineLevel="0" collapsed="false">
      <c r="A22" s="29" t="s">
        <v>310</v>
      </c>
      <c r="D22" s="27" t="n">
        <f aca="false">SUM(D5:D14)</f>
        <v>7300</v>
      </c>
    </row>
    <row r="23" customFormat="false" ht="15" hidden="false" customHeight="false" outlineLevel="0" collapsed="false">
      <c r="A23" s="28" t="s">
        <v>311</v>
      </c>
    </row>
    <row r="26" customFormat="false" ht="15" hidden="false" customHeight="false" outlineLevel="0" collapsed="false">
      <c r="A26" s="10" t="s">
        <v>312</v>
      </c>
    </row>
    <row r="27" customFormat="false" ht="15" hidden="false" customHeight="false" outlineLevel="0" collapsed="false">
      <c r="A27" s="11" t="s">
        <v>172</v>
      </c>
      <c r="B27" s="11" t="s">
        <v>59</v>
      </c>
      <c r="C27" s="11" t="s">
        <v>58</v>
      </c>
      <c r="D27" s="11" t="s">
        <v>60</v>
      </c>
      <c r="E27" s="11" t="s">
        <v>61</v>
      </c>
      <c r="F27" s="11" t="s">
        <v>313</v>
      </c>
      <c r="G27" s="11" t="s">
        <v>134</v>
      </c>
      <c r="H27" s="11" t="s">
        <v>314</v>
      </c>
    </row>
    <row r="28" customFormat="false" ht="15" hidden="false" customHeight="false" outlineLevel="0" collapsed="false">
      <c r="A28" s="12" t="s">
        <v>236</v>
      </c>
      <c r="B28" s="12" t="n">
        <f aca="false">COUNTIFS(Registro!$T$5:$T$804,$A28,Registro!$B$5:$B$804,"Italiaonline",Registro!$A$5:$A$804,"&gt;="&amp;DATE(2026,1,1))</f>
        <v>4</v>
      </c>
      <c r="C28" s="12" t="n">
        <f aca="false">COUNTIFS(Registro!$T$5:$T$804,$A28,Registro!$B$5:$B$804,"PgCasa (Italiaonline)",Registro!$A$5:$A$804,"&gt;="&amp;DATE(2026,1,1))</f>
        <v>3</v>
      </c>
      <c r="D28" s="12" t="n">
        <f aca="false">COUNTIFS(Registro!$T$5:$T$804,$A28,Registro!$B$5:$B$804,"Internet",Registro!$A$5:$A$804,"&gt;="&amp;DATE(2026,1,1))</f>
        <v>0</v>
      </c>
      <c r="E28" s="12" t="n">
        <f aca="false">COUNTIFS(Registro!$T$5:$T$804,$A28,Registro!$B$5:$B$804,"Passaparola",Registro!$A$5:$A$804,"&gt;="&amp;DATE(2026,1,1))</f>
        <v>7</v>
      </c>
      <c r="F28" s="12" t="n">
        <f aca="false">G28-SUM(B28:E28)</f>
        <v>0</v>
      </c>
      <c r="G28" s="12" t="n">
        <f aca="false">COUNTIFS(Registro!$T$5:$T$804,$A28,Registro!$A$5:$A$804,"&gt;="&amp;DATE(2026,1,1))</f>
        <v>14</v>
      </c>
      <c r="H28" s="12" t="s">
        <v>315</v>
      </c>
    </row>
    <row r="29" customFormat="false" ht="15" hidden="false" customHeight="false" outlineLevel="0" collapsed="false">
      <c r="A29" s="12" t="s">
        <v>193</v>
      </c>
      <c r="B29" s="12" t="n">
        <f aca="false">COUNTIFS(Registro!$T$5:$T$804,$A29,Registro!$B$5:$B$804,"Italiaonline",Registro!$A$5:$A$804,"&gt;="&amp;DATE(2026,1,1))</f>
        <v>1</v>
      </c>
      <c r="C29" s="12" t="n">
        <f aca="false">COUNTIFS(Registro!$T$5:$T$804,$A29,Registro!$B$5:$B$804,"PgCasa (Italiaonline)",Registro!$A$5:$A$804,"&gt;="&amp;DATE(2026,1,1))</f>
        <v>1</v>
      </c>
      <c r="D29" s="12" t="n">
        <f aca="false">COUNTIFS(Registro!$T$5:$T$804,$A29,Registro!$B$5:$B$804,"Internet",Registro!$A$5:$A$804,"&gt;="&amp;DATE(2026,1,1))</f>
        <v>4</v>
      </c>
      <c r="E29" s="12" t="n">
        <f aca="false">COUNTIFS(Registro!$T$5:$T$804,$A29,Registro!$B$5:$B$804,"Passaparola",Registro!$A$5:$A$804,"&gt;="&amp;DATE(2026,1,1))</f>
        <v>2</v>
      </c>
      <c r="F29" s="12" t="n">
        <f aca="false">G29-SUM(B29:E29)</f>
        <v>0</v>
      </c>
      <c r="G29" s="12" t="n">
        <f aca="false">COUNTIFS(Registro!$T$5:$T$804,$A29,Registro!$A$5:$A$804,"&gt;="&amp;DATE(2026,1,1))</f>
        <v>8</v>
      </c>
      <c r="H29" s="12" t="s">
        <v>316</v>
      </c>
    </row>
    <row r="30" customFormat="false" ht="15" hidden="false" customHeight="false" outlineLevel="0" collapsed="false">
      <c r="A30" s="12" t="s">
        <v>264</v>
      </c>
      <c r="B30" s="12" t="n">
        <f aca="false">COUNTIFS(Registro!$T$5:$T$804,$A30,Registro!$B$5:$B$804,"Italiaonline",Registro!$A$5:$A$804,"&gt;="&amp;DATE(2026,1,1))</f>
        <v>2</v>
      </c>
      <c r="C30" s="12" t="n">
        <f aca="false">COUNTIFS(Registro!$T$5:$T$804,$A30,Registro!$B$5:$B$804,"PgCasa (Italiaonline)",Registro!$A$5:$A$804,"&gt;="&amp;DATE(2026,1,1))</f>
        <v>1</v>
      </c>
      <c r="D30" s="12" t="n">
        <f aca="false">COUNTIFS(Registro!$T$5:$T$804,$A30,Registro!$B$5:$B$804,"Internet",Registro!$A$5:$A$804,"&gt;="&amp;DATE(2026,1,1))</f>
        <v>1</v>
      </c>
      <c r="E30" s="12" t="n">
        <f aca="false">COUNTIFS(Registro!$T$5:$T$804,$A30,Registro!$B$5:$B$804,"Passaparola",Registro!$A$5:$A$804,"&gt;="&amp;DATE(2026,1,1))</f>
        <v>10</v>
      </c>
      <c r="F30" s="12" t="n">
        <f aca="false">G30-SUM(B30:E30)</f>
        <v>2</v>
      </c>
      <c r="G30" s="12" t="n">
        <f aca="false">COUNTIFS(Registro!$T$5:$T$804,$A30,Registro!$A$5:$A$804,"&gt;="&amp;DATE(2026,1,1))</f>
        <v>16</v>
      </c>
      <c r="H30" s="12" t="s">
        <v>317</v>
      </c>
    </row>
    <row r="31" customFormat="false" ht="15" hidden="false" customHeight="false" outlineLevel="0" collapsed="false">
      <c r="A31" s="12" t="s">
        <v>279</v>
      </c>
      <c r="B31" s="12" t="n">
        <f aca="false">COUNTIFS(Registro!$T$5:$T$804,$A31,Registro!$B$5:$B$804,"Italiaonline",Registro!$A$5:$A$804,"&gt;="&amp;DATE(2026,1,1))</f>
        <v>1</v>
      </c>
      <c r="C31" s="12" t="n">
        <f aca="false">COUNTIFS(Registro!$T$5:$T$804,$A31,Registro!$B$5:$B$804,"PgCasa (Italiaonline)",Registro!$A$5:$A$804,"&gt;="&amp;DATE(2026,1,1))</f>
        <v>0</v>
      </c>
      <c r="D31" s="12" t="n">
        <f aca="false">COUNTIFS(Registro!$T$5:$T$804,$A31,Registro!$B$5:$B$804,"Internet",Registro!$A$5:$A$804,"&gt;="&amp;DATE(2026,1,1))</f>
        <v>0</v>
      </c>
      <c r="E31" s="12" t="n">
        <f aca="false">COUNTIFS(Registro!$T$5:$T$804,$A31,Registro!$B$5:$B$804,"Passaparola",Registro!$A$5:$A$804,"&gt;="&amp;DATE(2026,1,1))</f>
        <v>3</v>
      </c>
      <c r="F31" s="12" t="n">
        <f aca="false">G31-SUM(B31:E31)</f>
        <v>0</v>
      </c>
      <c r="G31" s="12" t="n">
        <f aca="false">COUNTIFS(Registro!$T$5:$T$804,$A31,Registro!$A$5:$A$804,"&gt;="&amp;DATE(2026,1,1))</f>
        <v>4</v>
      </c>
      <c r="H31" s="12" t="s">
        <v>318</v>
      </c>
    </row>
    <row r="32" customFormat="false" ht="15" hidden="false" customHeight="false" outlineLevel="0" collapsed="false">
      <c r="A32" s="12" t="s">
        <v>189</v>
      </c>
      <c r="B32" s="12" t="n">
        <f aca="false">COUNTIFS(Registro!$T$5:$T$804,$A32,Registro!$B$5:$B$804,"Italiaonline",Registro!$A$5:$A$804,"&gt;="&amp;DATE(2026,1,1))</f>
        <v>0</v>
      </c>
      <c r="C32" s="12" t="n">
        <f aca="false">COUNTIFS(Registro!$T$5:$T$804,$A32,Registro!$B$5:$B$804,"PgCasa (Italiaonline)",Registro!$A$5:$A$804,"&gt;="&amp;DATE(2026,1,1))</f>
        <v>0</v>
      </c>
      <c r="D32" s="12" t="n">
        <f aca="false">COUNTIFS(Registro!$T$5:$T$804,$A32,Registro!$B$5:$B$804,"Internet",Registro!$A$5:$A$804,"&gt;="&amp;DATE(2026,1,1))</f>
        <v>3</v>
      </c>
      <c r="E32" s="12" t="n">
        <f aca="false">COUNTIFS(Registro!$T$5:$T$804,$A32,Registro!$B$5:$B$804,"Passaparola",Registro!$A$5:$A$804,"&gt;="&amp;DATE(2026,1,1))</f>
        <v>3</v>
      </c>
      <c r="F32" s="12" t="n">
        <f aca="false">G32-SUM(B32:E32)</f>
        <v>1</v>
      </c>
      <c r="G32" s="12" t="n">
        <f aca="false">COUNTIFS(Registro!$T$5:$T$804,$A32,Registro!$A$5:$A$804,"&gt;="&amp;DATE(2026,1,1))</f>
        <v>7</v>
      </c>
      <c r="H32" s="12" t="s">
        <v>319</v>
      </c>
    </row>
    <row r="33" customFormat="false" ht="15" hidden="false" customHeight="false" outlineLevel="0" collapsed="false">
      <c r="A33" s="12" t="s">
        <v>284</v>
      </c>
      <c r="B33" s="12" t="n">
        <f aca="false">COUNTIFS(Registro!$T$5:$T$804,$A33,Registro!$B$5:$B$804,"Italiaonline",Registro!$A$5:$A$804,"&gt;="&amp;DATE(2026,1,1))</f>
        <v>0</v>
      </c>
      <c r="C33" s="12" t="n">
        <f aca="false">COUNTIFS(Registro!$T$5:$T$804,$A33,Registro!$B$5:$B$804,"PgCasa (Italiaonline)",Registro!$A$5:$A$804,"&gt;="&amp;DATE(2026,1,1))</f>
        <v>0</v>
      </c>
      <c r="D33" s="12" t="n">
        <f aca="false">COUNTIFS(Registro!$T$5:$T$804,$A33,Registro!$B$5:$B$804,"Internet",Registro!$A$5:$A$804,"&gt;="&amp;DATE(2026,1,1))</f>
        <v>0</v>
      </c>
      <c r="E33" s="12" t="n">
        <f aca="false">COUNTIFS(Registro!$T$5:$T$804,$A33,Registro!$B$5:$B$804,"Passaparola",Registro!$A$5:$A$804,"&gt;="&amp;DATE(2026,1,1))</f>
        <v>0</v>
      </c>
      <c r="F33" s="12" t="n">
        <f aca="false">G33-SUM(B33:E33)</f>
        <v>0</v>
      </c>
      <c r="G33" s="12" t="n">
        <f aca="false">COUNTIFS(Registro!$T$5:$T$804,$A33,Registro!$A$5:$A$804,"&gt;="&amp;DATE(2026,1,1))</f>
        <v>0</v>
      </c>
      <c r="H33" s="12" t="s">
        <v>201</v>
      </c>
    </row>
    <row r="34" customFormat="false" ht="15" hidden="false" customHeight="false" outlineLevel="0" collapsed="false">
      <c r="A34" s="12" t="s">
        <v>308</v>
      </c>
      <c r="B34" s="12" t="n">
        <f aca="false">COUNTIFS(Registro!$T$5:$T$804,$A34,Registro!$B$5:$B$804,"Italiaonline",Registro!$A$5:$A$804,"&gt;="&amp;DATE(2026,1,1))</f>
        <v>32</v>
      </c>
      <c r="C34" s="12" t="n">
        <f aca="false">COUNTIFS(Registro!$T$5:$T$804,$A34,Registro!$B$5:$B$804,"PgCasa (Italiaonline)",Registro!$A$5:$A$804,"&gt;="&amp;DATE(2026,1,1))</f>
        <v>6</v>
      </c>
      <c r="D34" s="12" t="n">
        <f aca="false">COUNTIFS(Registro!$T$5:$T$804,$A34,Registro!$B$5:$B$804,"Internet",Registro!$A$5:$A$804,"&gt;="&amp;DATE(2026,1,1))</f>
        <v>29</v>
      </c>
      <c r="E34" s="12" t="n">
        <f aca="false">COUNTIFS(Registro!$T$5:$T$804,$A34,Registro!$B$5:$B$804,"Passaparola",Registro!$A$5:$A$804,"&gt;="&amp;DATE(2026,1,1))</f>
        <v>58</v>
      </c>
      <c r="F34" s="12" t="n">
        <f aca="false">G34-SUM(B34:E34)</f>
        <v>5</v>
      </c>
      <c r="G34" s="12" t="n">
        <f aca="false">COUNTIFS(Registro!$T$5:$T$804,$A34,Registro!$A$5:$A$804,"&gt;="&amp;DATE(2026,1,1))</f>
        <v>130</v>
      </c>
      <c r="H34" s="12" t="s">
        <v>320</v>
      </c>
    </row>
    <row r="36" customFormat="false" ht="15" hidden="false" customHeight="false" outlineLevel="0" collapsed="false">
      <c r="A36" s="30" t="s">
        <v>321</v>
      </c>
      <c r="B36" s="30"/>
      <c r="C36" s="30"/>
      <c r="D36" s="30"/>
      <c r="E36" s="30"/>
      <c r="F36" s="30"/>
      <c r="G36" s="30"/>
      <c r="H36" s="30"/>
      <c r="I36" s="30"/>
      <c r="J36" s="30"/>
    </row>
    <row r="37" customFormat="false" ht="15" hidden="false" customHeight="false" outlineLevel="0" collapsed="false">
      <c r="A37" s="31" t="s">
        <v>322</v>
      </c>
      <c r="B37" s="31"/>
      <c r="C37" s="31"/>
      <c r="D37" s="31"/>
      <c r="E37" s="31"/>
      <c r="F37" s="31"/>
      <c r="G37" s="31"/>
      <c r="H37" s="31"/>
      <c r="I37" s="31"/>
      <c r="J37" s="31"/>
    </row>
    <row r="38" customFormat="false" ht="15" hidden="false" customHeight="false" outlineLevel="0" collapsed="false">
      <c r="A38" s="31" t="s">
        <v>323</v>
      </c>
      <c r="B38" s="31"/>
      <c r="C38" s="31"/>
      <c r="D38" s="31"/>
      <c r="E38" s="31"/>
      <c r="F38" s="31"/>
      <c r="G38" s="31"/>
      <c r="H38" s="31"/>
      <c r="I38" s="31"/>
      <c r="J38" s="31"/>
    </row>
    <row r="39" customFormat="false" ht="15" hidden="false" customHeight="false" outlineLevel="0" collapsed="false">
      <c r="A39" s="31" t="s">
        <v>324</v>
      </c>
      <c r="B39" s="31"/>
      <c r="C39" s="31"/>
      <c r="D39" s="31"/>
      <c r="E39" s="31"/>
      <c r="F39" s="31"/>
      <c r="G39" s="31"/>
      <c r="H39" s="31"/>
      <c r="I39" s="31"/>
      <c r="J39" s="31"/>
    </row>
    <row r="40" customFormat="false" ht="15" hidden="false" customHeight="false" outlineLevel="0" collapsed="false">
      <c r="A40" s="31" t="s">
        <v>325</v>
      </c>
      <c r="B40" s="31"/>
      <c r="C40" s="31"/>
      <c r="D40" s="31"/>
      <c r="E40" s="31"/>
      <c r="F40" s="31"/>
      <c r="G40" s="31"/>
      <c r="H40" s="31"/>
      <c r="I40" s="31"/>
      <c r="J40" s="31"/>
    </row>
    <row r="41" customFormat="false" ht="15" hidden="false" customHeight="false" outlineLevel="0" collapsed="false">
      <c r="A41" s="31" t="s">
        <v>326</v>
      </c>
      <c r="B41" s="31"/>
      <c r="C41" s="31"/>
      <c r="D41" s="31"/>
      <c r="E41" s="31"/>
      <c r="F41" s="31"/>
      <c r="G41" s="31"/>
      <c r="H41" s="31"/>
      <c r="I41" s="31"/>
      <c r="J41" s="31"/>
    </row>
  </sheetData>
  <mergeCells count="6">
    <mergeCell ref="A36:J36"/>
    <mergeCell ref="A37:J37"/>
    <mergeCell ref="A38:J38"/>
    <mergeCell ref="A39:J39"/>
    <mergeCell ref="A40:J40"/>
    <mergeCell ref="A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23.85" hidden="false" customHeight="false" outlineLevel="0" collapsed="false">
      <c r="A4" s="19" t="s">
        <v>329</v>
      </c>
      <c r="B4" s="19" t="s">
        <v>136</v>
      </c>
      <c r="C4" s="19" t="s">
        <v>330</v>
      </c>
      <c r="D4" s="19" t="s">
        <v>331</v>
      </c>
      <c r="E4" s="19" t="s">
        <v>332</v>
      </c>
      <c r="F4" s="19" t="s">
        <v>333</v>
      </c>
      <c r="G4" s="19" t="s">
        <v>334</v>
      </c>
      <c r="H4" s="19" t="s">
        <v>335</v>
      </c>
      <c r="I4" s="19" t="s">
        <v>336</v>
      </c>
      <c r="K4" s="32" t="s">
        <v>337</v>
      </c>
      <c r="L4" s="32" t="s">
        <v>338</v>
      </c>
      <c r="M4" s="32" t="s">
        <v>339</v>
      </c>
    </row>
    <row r="5" customFormat="false" ht="15" hidden="false" customHeight="false" outlineLevel="0" collapsed="false">
      <c r="A5" s="33" t="n">
        <v>46230</v>
      </c>
      <c r="B5" s="12" t="str">
        <f aca="false">TEXT(A5,"yyyy-mm")</f>
        <v>2026-07</v>
      </c>
      <c r="C5" s="12" t="s">
        <v>340</v>
      </c>
      <c r="D5" s="12" t="s">
        <v>341</v>
      </c>
      <c r="E5" s="12" t="s">
        <v>342</v>
      </c>
      <c r="F5" s="12" t="s">
        <v>343</v>
      </c>
      <c r="G5" s="12" t="s">
        <v>344</v>
      </c>
      <c r="H5" s="12" t="s">
        <v>345</v>
      </c>
      <c r="I5" s="12" t="str">
        <f aca="false">IF(G5="","",IF(COUNTIF(Registro!$G$5:$G$804,G5)&gt;0,"SI","NO"))</f>
        <v>NO</v>
      </c>
      <c r="K5" s="26" t="s">
        <v>346</v>
      </c>
      <c r="L5" s="26" t="n">
        <f aca="false">COUNTIFS($A$5:$A$293,"&gt;="&amp;DATE(2021,1,1),$A$5:$A$293,"&lt;"&amp;DATE(2022,1,1))</f>
        <v>13</v>
      </c>
      <c r="M5" s="34" t="n">
        <f aca="false">L5/9</f>
        <v>1.44444444444444</v>
      </c>
    </row>
    <row r="6" customFormat="false" ht="15" hidden="false" customHeight="false" outlineLevel="0" collapsed="false">
      <c r="A6" s="33" t="n">
        <v>46219</v>
      </c>
      <c r="B6" s="12" t="str">
        <f aca="false">TEXT(A6,"yyyy-mm")</f>
        <v>2026-07</v>
      </c>
      <c r="C6" s="12" t="s">
        <v>340</v>
      </c>
      <c r="D6" s="12" t="s">
        <v>347</v>
      </c>
      <c r="E6" s="12" t="s">
        <v>348</v>
      </c>
      <c r="F6" s="12" t="s">
        <v>349</v>
      </c>
      <c r="G6" s="12" t="s">
        <v>350</v>
      </c>
      <c r="H6" s="12" t="s">
        <v>351</v>
      </c>
      <c r="I6" s="12" t="str">
        <f aca="false">IF(G6="","",IF(COUNTIF(Registro!$G$5:$G$804,G6)&gt;0,"SI","NO"))</f>
        <v>SI</v>
      </c>
      <c r="K6" s="26" t="s">
        <v>352</v>
      </c>
      <c r="L6" s="26" t="n">
        <f aca="false">COUNTIFS($A$5:$A$293,"&gt;="&amp;DATE(2022,1,1),$A$5:$A$293,"&lt;"&amp;DATE(2023,1,1))</f>
        <v>24</v>
      </c>
      <c r="M6" s="34" t="n">
        <f aca="false">L6/12</f>
        <v>2</v>
      </c>
    </row>
    <row r="7" customFormat="false" ht="15" hidden="false" customHeight="false" outlineLevel="0" collapsed="false">
      <c r="A7" s="33" t="n">
        <v>46205</v>
      </c>
      <c r="B7" s="12" t="str">
        <f aca="false">TEXT(A7,"yyyy-mm")</f>
        <v>2026-07</v>
      </c>
      <c r="C7" s="12" t="s">
        <v>340</v>
      </c>
      <c r="D7" s="12" t="s">
        <v>353</v>
      </c>
      <c r="E7" s="12" t="s">
        <v>354</v>
      </c>
      <c r="F7" s="12" t="s">
        <v>355</v>
      </c>
      <c r="G7" s="12" t="s">
        <v>356</v>
      </c>
      <c r="H7" s="12" t="s">
        <v>345</v>
      </c>
      <c r="I7" s="12" t="str">
        <f aca="false">IF(G7="","",IF(COUNTIF(Registro!$G$5:$G$804,G7)&gt;0,"SI","NO"))</f>
        <v>NO</v>
      </c>
      <c r="K7" s="26" t="s">
        <v>214</v>
      </c>
      <c r="L7" s="26" t="n">
        <f aca="false">COUNTIFS($A$5:$A$293,"&gt;="&amp;DATE(2023,1,1),$A$5:$A$293,"&lt;"&amp;DATE(2024,1,1))</f>
        <v>23</v>
      </c>
      <c r="M7" s="34" t="n">
        <f aca="false">L7/12</f>
        <v>1.91666666666667</v>
      </c>
    </row>
    <row r="8" customFormat="false" ht="15" hidden="false" customHeight="false" outlineLevel="0" collapsed="false">
      <c r="A8" s="33" t="n">
        <v>46190</v>
      </c>
      <c r="B8" s="12" t="str">
        <f aca="false">TEXT(A8,"yyyy-mm")</f>
        <v>2026-06</v>
      </c>
      <c r="C8" s="12" t="s">
        <v>340</v>
      </c>
      <c r="D8" s="12" t="s">
        <v>357</v>
      </c>
      <c r="E8" s="12" t="s">
        <v>358</v>
      </c>
      <c r="F8" s="12" t="s">
        <v>359</v>
      </c>
      <c r="G8" s="12" t="s">
        <v>360</v>
      </c>
      <c r="H8" s="12" t="s">
        <v>351</v>
      </c>
      <c r="I8" s="12" t="str">
        <f aca="false">IF(G8="","",IF(COUNTIF(Registro!$G$5:$G$804,G8)&gt;0,"SI","NO"))</f>
        <v>NO</v>
      </c>
      <c r="K8" s="26" t="s">
        <v>215</v>
      </c>
      <c r="L8" s="26" t="n">
        <f aca="false">COUNTIFS($A$5:$A$293,"&gt;="&amp;DATE(2024,1,1),$A$5:$A$293,"&lt;"&amp;DATE(2025,1,1))</f>
        <v>78</v>
      </c>
      <c r="M8" s="34" t="n">
        <f aca="false">L8/12</f>
        <v>6.5</v>
      </c>
    </row>
    <row r="9" customFormat="false" ht="15" hidden="false" customHeight="false" outlineLevel="0" collapsed="false">
      <c r="A9" s="33" t="n">
        <v>46187</v>
      </c>
      <c r="B9" s="12" t="str">
        <f aca="false">TEXT(A9,"yyyy-mm")</f>
        <v>2026-06</v>
      </c>
      <c r="C9" s="12" t="s">
        <v>340</v>
      </c>
      <c r="D9" s="12" t="s">
        <v>361</v>
      </c>
      <c r="E9" s="12" t="s">
        <v>362</v>
      </c>
      <c r="F9" s="12" t="s">
        <v>363</v>
      </c>
      <c r="G9" s="12" t="s">
        <v>364</v>
      </c>
      <c r="H9" s="12" t="s">
        <v>351</v>
      </c>
      <c r="I9" s="12" t="str">
        <f aca="false">IF(G9="","",IF(COUNTIF(Registro!$G$5:$G$804,G9)&gt;0,"SI","NO"))</f>
        <v>NO</v>
      </c>
      <c r="K9" s="26" t="s">
        <v>365</v>
      </c>
      <c r="L9" s="26" t="n">
        <f aca="false">COUNTIFS($A$5:$A$293,"&gt;="&amp;DATE(2025,1,1),$A$5:$A$293,"&lt;"&amp;DATE(2026,1,1))</f>
        <v>121</v>
      </c>
      <c r="M9" s="34" t="n">
        <f aca="false">L9/10</f>
        <v>12.1</v>
      </c>
    </row>
    <row r="10" customFormat="false" ht="15" hidden="false" customHeight="false" outlineLevel="0" collapsed="false">
      <c r="A10" s="33" t="n">
        <v>46178</v>
      </c>
      <c r="B10" s="12" t="str">
        <f aca="false">TEXT(A10,"yyyy-mm")</f>
        <v>2026-06</v>
      </c>
      <c r="C10" s="12" t="s">
        <v>340</v>
      </c>
      <c r="D10" s="12" t="s">
        <v>366</v>
      </c>
      <c r="E10" s="12" t="s">
        <v>367</v>
      </c>
      <c r="F10" s="12" t="s">
        <v>368</v>
      </c>
      <c r="G10" s="12" t="s">
        <v>369</v>
      </c>
      <c r="H10" s="12" t="s">
        <v>345</v>
      </c>
      <c r="I10" s="12" t="str">
        <f aca="false">IF(G10="","",IF(COUNTIF(Registro!$G$5:$G$804,G10)&gt;0,"SI","NO"))</f>
        <v>NO</v>
      </c>
      <c r="K10" s="26" t="s">
        <v>370</v>
      </c>
      <c r="L10" s="26" t="n">
        <f aca="false">COUNTIFS($A$5:$A$293,"&gt;="&amp;DATE(2026,1,1),$A$5:$A$293,"&lt;"&amp;DATE(2027,1,1))</f>
        <v>30</v>
      </c>
      <c r="M10" s="34" t="n">
        <f aca="false">L10/5</f>
        <v>6</v>
      </c>
    </row>
    <row r="11" customFormat="false" ht="15" hidden="false" customHeight="false" outlineLevel="0" collapsed="false">
      <c r="A11" s="33" t="n">
        <v>46171</v>
      </c>
      <c r="B11" s="12" t="str">
        <f aca="false">TEXT(A11,"yyyy-mm")</f>
        <v>2026-05</v>
      </c>
      <c r="C11" s="12" t="s">
        <v>340</v>
      </c>
      <c r="D11" s="12" t="s">
        <v>371</v>
      </c>
      <c r="E11" s="12" t="s">
        <v>372</v>
      </c>
      <c r="F11" s="12" t="s">
        <v>373</v>
      </c>
      <c r="G11" s="12" t="s">
        <v>374</v>
      </c>
      <c r="H11" s="12" t="s">
        <v>345</v>
      </c>
      <c r="I11" s="12" t="str">
        <f aca="false">IF(G11="","",IF(COUNTIF(Registro!$G$5:$G$804,G11)&gt;0,"SI","NO"))</f>
        <v>NO</v>
      </c>
    </row>
    <row r="12" customFormat="false" ht="15" hidden="false" customHeight="false" outlineLevel="0" collapsed="false">
      <c r="A12" s="33" t="n">
        <v>46171</v>
      </c>
      <c r="B12" s="12" t="str">
        <f aca="false">TEXT(A12,"yyyy-mm")</f>
        <v>2026-05</v>
      </c>
      <c r="C12" s="12" t="s">
        <v>340</v>
      </c>
      <c r="D12" s="12" t="s">
        <v>375</v>
      </c>
      <c r="E12" s="12" t="s">
        <v>376</v>
      </c>
      <c r="F12" s="12" t="s">
        <v>377</v>
      </c>
      <c r="G12" s="12" t="s">
        <v>378</v>
      </c>
      <c r="H12" s="12" t="s">
        <v>351</v>
      </c>
      <c r="I12" s="12" t="str">
        <f aca="false">IF(G12="","",IF(COUNTIF(Registro!$G$5:$G$804,G12)&gt;0,"SI","NO"))</f>
        <v>NO</v>
      </c>
      <c r="K12" s="29" t="s">
        <v>379</v>
      </c>
      <c r="L12" s="0" t="n">
        <f aca="false">COUNTIFS($A$5:$A$293,"&gt;="&amp;DATE(2026,1,1))</f>
        <v>30</v>
      </c>
    </row>
    <row r="13" customFormat="false" ht="15" hidden="false" customHeight="false" outlineLevel="0" collapsed="false">
      <c r="A13" s="33" t="n">
        <v>46170</v>
      </c>
      <c r="B13" s="12" t="str">
        <f aca="false">TEXT(A13,"yyyy-mm")</f>
        <v>2026-05</v>
      </c>
      <c r="C13" s="12" t="s">
        <v>340</v>
      </c>
      <c r="D13" s="12" t="s">
        <v>380</v>
      </c>
      <c r="E13" s="12" t="s">
        <v>381</v>
      </c>
      <c r="F13" s="12" t="s">
        <v>382</v>
      </c>
      <c r="G13" s="12" t="s">
        <v>383</v>
      </c>
      <c r="H13" s="12" t="s">
        <v>345</v>
      </c>
      <c r="I13" s="12" t="str">
        <f aca="false">IF(G13="","",IF(COUNTIF(Registro!$G$5:$G$804,G13)&gt;0,"SI","NO"))</f>
        <v>NO</v>
      </c>
      <c r="K13" s="29" t="s">
        <v>384</v>
      </c>
      <c r="L13" s="0" t="n">
        <f aca="false">COUNTIFS($A$5:$A$293,"&gt;="&amp;DATE(2026,1,1),$I$5:$I$293,"SI")</f>
        <v>13</v>
      </c>
    </row>
    <row r="14" customFormat="false" ht="15" hidden="false" customHeight="false" outlineLevel="0" collapsed="false">
      <c r="A14" s="33" t="n">
        <v>46168</v>
      </c>
      <c r="B14" s="12" t="str">
        <f aca="false">TEXT(A14,"yyyy-mm")</f>
        <v>2026-05</v>
      </c>
      <c r="C14" s="12" t="s">
        <v>340</v>
      </c>
      <c r="D14" s="12" t="s">
        <v>385</v>
      </c>
      <c r="E14" s="12" t="s">
        <v>386</v>
      </c>
      <c r="F14" s="12" t="s">
        <v>387</v>
      </c>
      <c r="G14" s="12" t="s">
        <v>388</v>
      </c>
      <c r="H14" s="12" t="s">
        <v>345</v>
      </c>
      <c r="I14" s="12" t="str">
        <f aca="false">IF(G14="","",IF(COUNTIF(Registro!$G$5:$G$804,G14)&gt;0,"SI","NO"))</f>
        <v>NO</v>
      </c>
      <c r="K14" s="35" t="s">
        <v>389</v>
      </c>
      <c r="L14" s="0" t="n">
        <f aca="false">L12-L13</f>
        <v>17</v>
      </c>
    </row>
    <row r="15" customFormat="false" ht="15" hidden="false" customHeight="false" outlineLevel="0" collapsed="false">
      <c r="A15" s="33" t="n">
        <v>46155</v>
      </c>
      <c r="B15" s="12" t="str">
        <f aca="false">TEXT(A15,"yyyy-mm")</f>
        <v>2026-05</v>
      </c>
      <c r="C15" s="12" t="s">
        <v>340</v>
      </c>
      <c r="D15" s="12" t="s">
        <v>390</v>
      </c>
      <c r="E15" s="12" t="s">
        <v>391</v>
      </c>
      <c r="F15" s="12" t="s">
        <v>392</v>
      </c>
      <c r="G15" s="12" t="s">
        <v>393</v>
      </c>
      <c r="H15" s="12" t="s">
        <v>345</v>
      </c>
      <c r="I15" s="12" t="str">
        <f aca="false">IF(G15="","",IF(COUNTIF(Registro!$G$5:$G$804,G15)&gt;0,"SI","NO"))</f>
        <v>NO</v>
      </c>
    </row>
    <row r="16" customFormat="false" ht="46.25" hidden="false" customHeight="false" outlineLevel="0" collapsed="false">
      <c r="A16" s="33" t="n">
        <v>46152</v>
      </c>
      <c r="B16" s="12" t="str">
        <f aca="false">TEXT(A16,"yyyy-mm")</f>
        <v>2026-05</v>
      </c>
      <c r="C16" s="12" t="s">
        <v>340</v>
      </c>
      <c r="D16" s="12" t="s">
        <v>347</v>
      </c>
      <c r="E16" s="12" t="s">
        <v>394</v>
      </c>
      <c r="F16" s="12" t="s">
        <v>395</v>
      </c>
      <c r="G16" s="12" t="s">
        <v>396</v>
      </c>
      <c r="H16" s="12" t="s">
        <v>345</v>
      </c>
      <c r="I16" s="12" t="str">
        <f aca="false">IF(G16="","",IF(COUNTIF(Registro!$G$5:$G$804,G16)&gt;0,"SI","NO"))</f>
        <v>SI</v>
      </c>
      <c r="K16" s="36" t="s">
        <v>397</v>
      </c>
    </row>
    <row r="17" customFormat="false" ht="15" hidden="false" customHeight="false" outlineLevel="0" collapsed="false">
      <c r="A17" s="33" t="n">
        <v>46149</v>
      </c>
      <c r="B17" s="12" t="str">
        <f aca="false">TEXT(A17,"yyyy-mm")</f>
        <v>2026-05</v>
      </c>
      <c r="C17" s="12" t="s">
        <v>340</v>
      </c>
      <c r="D17" s="12" t="s">
        <v>398</v>
      </c>
      <c r="E17" s="12" t="s">
        <v>399</v>
      </c>
      <c r="F17" s="12" t="s">
        <v>400</v>
      </c>
      <c r="G17" s="12" t="s">
        <v>401</v>
      </c>
      <c r="H17" s="12" t="s">
        <v>345</v>
      </c>
      <c r="I17" s="12" t="str">
        <f aca="false">IF(G17="","",IF(COUNTIF(Registro!$G$5:$G$804,G17)&gt;0,"SI","NO"))</f>
        <v>SI</v>
      </c>
      <c r="K17" s="28" t="s">
        <v>402</v>
      </c>
    </row>
    <row r="18" customFormat="false" ht="15" hidden="false" customHeight="false" outlineLevel="0" collapsed="false">
      <c r="A18" s="33" t="n">
        <v>46145</v>
      </c>
      <c r="B18" s="12" t="str">
        <f aca="false">TEXT(A18,"yyyy-mm")</f>
        <v>2026-05</v>
      </c>
      <c r="C18" s="12" t="s">
        <v>340</v>
      </c>
      <c r="D18" s="12" t="s">
        <v>403</v>
      </c>
      <c r="E18" s="12" t="s">
        <v>404</v>
      </c>
      <c r="F18" s="12" t="s">
        <v>405</v>
      </c>
      <c r="G18" s="12" t="s">
        <v>406</v>
      </c>
      <c r="H18" s="12" t="s">
        <v>351</v>
      </c>
      <c r="I18" s="12" t="str">
        <f aca="false">IF(G18="","",IF(COUNTIF(Registro!$G$5:$G$804,G18)&gt;0,"SI","NO"))</f>
        <v>NO</v>
      </c>
    </row>
    <row r="19" customFormat="false" ht="15" hidden="false" customHeight="false" outlineLevel="0" collapsed="false">
      <c r="A19" s="33" t="n">
        <v>46139</v>
      </c>
      <c r="B19" s="12" t="str">
        <f aca="false">TEXT(A19,"yyyy-mm")</f>
        <v>2026-04</v>
      </c>
      <c r="C19" s="12" t="s">
        <v>340</v>
      </c>
      <c r="D19" s="12" t="s">
        <v>407</v>
      </c>
      <c r="E19" s="12" t="s">
        <v>408</v>
      </c>
      <c r="F19" s="12" t="s">
        <v>409</v>
      </c>
      <c r="G19" s="12" t="s">
        <v>410</v>
      </c>
      <c r="H19" s="12" t="s">
        <v>345</v>
      </c>
      <c r="I19" s="12" t="str">
        <f aca="false">IF(G19="","",IF(COUNTIF(Registro!$G$5:$G$804,G19)&gt;0,"SI","NO"))</f>
        <v>NO</v>
      </c>
    </row>
    <row r="20" customFormat="false" ht="15" hidden="false" customHeight="false" outlineLevel="0" collapsed="false">
      <c r="A20" s="33" t="n">
        <v>46137</v>
      </c>
      <c r="B20" s="12" t="str">
        <f aca="false">TEXT(A20,"yyyy-mm")</f>
        <v>2026-04</v>
      </c>
      <c r="C20" s="12" t="s">
        <v>340</v>
      </c>
      <c r="D20" s="12" t="s">
        <v>411</v>
      </c>
      <c r="E20" s="12" t="s">
        <v>412</v>
      </c>
      <c r="F20" s="12" t="s">
        <v>413</v>
      </c>
      <c r="G20" s="12" t="s">
        <v>414</v>
      </c>
      <c r="H20" s="12" t="s">
        <v>351</v>
      </c>
      <c r="I20" s="12" t="str">
        <f aca="false">IF(G20="","",IF(COUNTIF(Registro!$G$5:$G$804,G20)&gt;0,"SI","NO"))</f>
        <v>NO</v>
      </c>
    </row>
    <row r="21" customFormat="false" ht="15" hidden="false" customHeight="false" outlineLevel="0" collapsed="false">
      <c r="A21" s="33" t="n">
        <v>46137</v>
      </c>
      <c r="B21" s="12" t="str">
        <f aca="false">TEXT(A21,"yyyy-mm")</f>
        <v>2026-04</v>
      </c>
      <c r="C21" s="12" t="s">
        <v>340</v>
      </c>
      <c r="D21" s="12" t="s">
        <v>415</v>
      </c>
      <c r="E21" s="12" t="s">
        <v>416</v>
      </c>
      <c r="F21" s="12" t="s">
        <v>417</v>
      </c>
      <c r="G21" s="12" t="s">
        <v>418</v>
      </c>
      <c r="H21" s="12" t="s">
        <v>351</v>
      </c>
      <c r="I21" s="12" t="str">
        <f aca="false">IF(G21="","",IF(COUNTIF(Registro!$G$5:$G$804,G21)&gt;0,"SI","NO"))</f>
        <v>NO</v>
      </c>
    </row>
    <row r="22" customFormat="false" ht="15" hidden="false" customHeight="false" outlineLevel="0" collapsed="false">
      <c r="A22" s="33" t="n">
        <v>46136</v>
      </c>
      <c r="B22" s="12" t="str">
        <f aca="false">TEXT(A22,"yyyy-mm")</f>
        <v>2026-04</v>
      </c>
      <c r="C22" s="12" t="s">
        <v>340</v>
      </c>
      <c r="D22" s="12" t="s">
        <v>419</v>
      </c>
      <c r="E22" s="12" t="s">
        <v>420</v>
      </c>
      <c r="F22" s="12" t="s">
        <v>421</v>
      </c>
      <c r="G22" s="12" t="s">
        <v>422</v>
      </c>
      <c r="H22" s="12" t="s">
        <v>345</v>
      </c>
      <c r="I22" s="12" t="str">
        <f aca="false">IF(G22="","",IF(COUNTIF(Registro!$G$5:$G$804,G22)&gt;0,"SI","NO"))</f>
        <v>NO</v>
      </c>
    </row>
    <row r="23" customFormat="false" ht="15" hidden="false" customHeight="false" outlineLevel="0" collapsed="false">
      <c r="A23" s="33" t="n">
        <v>46135</v>
      </c>
      <c r="B23" s="12" t="str">
        <f aca="false">TEXT(A23,"yyyy-mm")</f>
        <v>2026-04</v>
      </c>
      <c r="C23" s="12" t="s">
        <v>340</v>
      </c>
      <c r="D23" s="12" t="s">
        <v>423</v>
      </c>
      <c r="E23" s="12" t="s">
        <v>424</v>
      </c>
      <c r="F23" s="12" t="s">
        <v>425</v>
      </c>
      <c r="G23" s="12" t="s">
        <v>426</v>
      </c>
      <c r="H23" s="12" t="s">
        <v>351</v>
      </c>
      <c r="I23" s="12" t="str">
        <f aca="false">IF(G23="","",IF(COUNTIF(Registro!$G$5:$G$804,G23)&gt;0,"SI","NO"))</f>
        <v>NO</v>
      </c>
    </row>
    <row r="24" customFormat="false" ht="15" hidden="false" customHeight="false" outlineLevel="0" collapsed="false">
      <c r="A24" s="33" t="n">
        <v>46134</v>
      </c>
      <c r="B24" s="12" t="str">
        <f aca="false">TEXT(A24,"yyyy-mm")</f>
        <v>2026-04</v>
      </c>
      <c r="C24" s="12" t="s">
        <v>340</v>
      </c>
      <c r="D24" s="12" t="s">
        <v>427</v>
      </c>
      <c r="E24" s="12" t="s">
        <v>428</v>
      </c>
      <c r="F24" s="12" t="s">
        <v>429</v>
      </c>
      <c r="G24" s="12" t="s">
        <v>430</v>
      </c>
      <c r="H24" s="12" t="s">
        <v>351</v>
      </c>
      <c r="I24" s="12" t="str">
        <f aca="false">IF(G24="","",IF(COUNTIF(Registro!$G$5:$G$804,G24)&gt;0,"SI","NO"))</f>
        <v>SI</v>
      </c>
    </row>
    <row r="25" customFormat="false" ht="15" hidden="false" customHeight="false" outlineLevel="0" collapsed="false">
      <c r="A25" s="33" t="n">
        <v>46134</v>
      </c>
      <c r="B25" s="12" t="str">
        <f aca="false">TEXT(A25,"yyyy-mm")</f>
        <v>2026-04</v>
      </c>
      <c r="C25" s="12" t="s">
        <v>340</v>
      </c>
      <c r="D25" s="12" t="s">
        <v>431</v>
      </c>
      <c r="E25" s="12" t="s">
        <v>432</v>
      </c>
      <c r="F25" s="12" t="s">
        <v>433</v>
      </c>
      <c r="G25" s="12" t="s">
        <v>434</v>
      </c>
      <c r="H25" s="12" t="s">
        <v>345</v>
      </c>
      <c r="I25" s="12" t="str">
        <f aca="false">IF(G25="","",IF(COUNTIF(Registro!$G$5:$G$804,G25)&gt;0,"SI","NO"))</f>
        <v>SI</v>
      </c>
    </row>
    <row r="26" customFormat="false" ht="15" hidden="false" customHeight="false" outlineLevel="0" collapsed="false">
      <c r="A26" s="33" t="n">
        <v>46133</v>
      </c>
      <c r="B26" s="12" t="str">
        <f aca="false">TEXT(A26,"yyyy-mm")</f>
        <v>2026-04</v>
      </c>
      <c r="C26" s="12" t="s">
        <v>340</v>
      </c>
      <c r="D26" s="12" t="s">
        <v>435</v>
      </c>
      <c r="E26" s="12" t="s">
        <v>436</v>
      </c>
      <c r="F26" s="12" t="s">
        <v>437</v>
      </c>
      <c r="G26" s="12" t="s">
        <v>438</v>
      </c>
      <c r="H26" s="12" t="s">
        <v>351</v>
      </c>
      <c r="I26" s="12" t="str">
        <f aca="false">IF(G26="","",IF(COUNTIF(Registro!$G$5:$G$804,G26)&gt;0,"SI","NO"))</f>
        <v>SI</v>
      </c>
    </row>
    <row r="27" customFormat="false" ht="15" hidden="false" customHeight="false" outlineLevel="0" collapsed="false">
      <c r="A27" s="33" t="n">
        <v>46132</v>
      </c>
      <c r="B27" s="12" t="str">
        <f aca="false">TEXT(A27,"yyyy-mm")</f>
        <v>2026-04</v>
      </c>
      <c r="C27" s="12" t="s">
        <v>340</v>
      </c>
      <c r="D27" s="12" t="s">
        <v>439</v>
      </c>
      <c r="E27" s="12" t="s">
        <v>440</v>
      </c>
      <c r="F27" s="12" t="s">
        <v>441</v>
      </c>
      <c r="G27" s="12" t="s">
        <v>442</v>
      </c>
      <c r="H27" s="12" t="s">
        <v>345</v>
      </c>
      <c r="I27" s="12" t="str">
        <f aca="false">IF(G27="","",IF(COUNTIF(Registro!$G$5:$G$804,G27)&gt;0,"SI","NO"))</f>
        <v>SI</v>
      </c>
    </row>
    <row r="28" customFormat="false" ht="15" hidden="false" customHeight="false" outlineLevel="0" collapsed="false">
      <c r="A28" s="33" t="n">
        <v>46132</v>
      </c>
      <c r="B28" s="12" t="str">
        <f aca="false">TEXT(A28,"yyyy-mm")</f>
        <v>2026-04</v>
      </c>
      <c r="C28" s="12" t="s">
        <v>340</v>
      </c>
      <c r="D28" s="12" t="s">
        <v>443</v>
      </c>
      <c r="E28" s="12" t="s">
        <v>444</v>
      </c>
      <c r="F28" s="12" t="s">
        <v>445</v>
      </c>
      <c r="G28" s="12" t="s">
        <v>446</v>
      </c>
      <c r="H28" s="12" t="s">
        <v>345</v>
      </c>
      <c r="I28" s="12" t="str">
        <f aca="false">IF(G28="","",IF(COUNTIF(Registro!$G$5:$G$804,G28)&gt;0,"SI","NO"))</f>
        <v>SI</v>
      </c>
    </row>
    <row r="29" customFormat="false" ht="15" hidden="false" customHeight="false" outlineLevel="0" collapsed="false">
      <c r="A29" s="33" t="n">
        <v>46127</v>
      </c>
      <c r="B29" s="12" t="str">
        <f aca="false">TEXT(A29,"yyyy-mm")</f>
        <v>2026-04</v>
      </c>
      <c r="C29" s="12" t="s">
        <v>340</v>
      </c>
      <c r="D29" s="12" t="s">
        <v>447</v>
      </c>
      <c r="E29" s="12" t="s">
        <v>448</v>
      </c>
      <c r="F29" s="12" t="s">
        <v>449</v>
      </c>
      <c r="G29" s="12" t="s">
        <v>450</v>
      </c>
      <c r="H29" s="12" t="s">
        <v>345</v>
      </c>
      <c r="I29" s="12" t="str">
        <f aca="false">IF(G29="","",IF(COUNTIF(Registro!$G$5:$G$804,G29)&gt;0,"SI","NO"))</f>
        <v>NO</v>
      </c>
    </row>
    <row r="30" customFormat="false" ht="15" hidden="false" customHeight="false" outlineLevel="0" collapsed="false">
      <c r="A30" s="33" t="n">
        <v>46115</v>
      </c>
      <c r="B30" s="12" t="str">
        <f aca="false">TEXT(A30,"yyyy-mm")</f>
        <v>2026-04</v>
      </c>
      <c r="C30" s="12" t="s">
        <v>340</v>
      </c>
      <c r="D30" s="12" t="s">
        <v>451</v>
      </c>
      <c r="E30" s="12" t="s">
        <v>452</v>
      </c>
      <c r="F30" s="12" t="s">
        <v>453</v>
      </c>
      <c r="G30" s="12" t="s">
        <v>454</v>
      </c>
      <c r="H30" s="12" t="s">
        <v>345</v>
      </c>
      <c r="I30" s="12" t="str">
        <f aca="false">IF(G30="","",IF(COUNTIF(Registro!$G$5:$G$804,G30)&gt;0,"SI","NO"))</f>
        <v>SI</v>
      </c>
    </row>
    <row r="31" customFormat="false" ht="15" hidden="false" customHeight="false" outlineLevel="0" collapsed="false">
      <c r="A31" s="33" t="n">
        <v>46114</v>
      </c>
      <c r="B31" s="12" t="str">
        <f aca="false">TEXT(A31,"yyyy-mm")</f>
        <v>2026-04</v>
      </c>
      <c r="C31" s="12" t="s">
        <v>340</v>
      </c>
      <c r="D31" s="12" t="s">
        <v>375</v>
      </c>
      <c r="E31" s="12" t="s">
        <v>455</v>
      </c>
      <c r="F31" s="12" t="s">
        <v>456</v>
      </c>
      <c r="G31" s="12" t="s">
        <v>457</v>
      </c>
      <c r="H31" s="12" t="s">
        <v>345</v>
      </c>
      <c r="I31" s="12" t="str">
        <f aca="false">IF(G31="","",IF(COUNTIF(Registro!$G$5:$G$804,G31)&gt;0,"SI","NO"))</f>
        <v>SI</v>
      </c>
    </row>
    <row r="32" customFormat="false" ht="15" hidden="false" customHeight="false" outlineLevel="0" collapsed="false">
      <c r="A32" s="33" t="n">
        <v>46111</v>
      </c>
      <c r="B32" s="12" t="str">
        <f aca="false">TEXT(A32,"yyyy-mm")</f>
        <v>2026-03</v>
      </c>
      <c r="C32" s="12" t="s">
        <v>340</v>
      </c>
      <c r="D32" s="12" t="s">
        <v>458</v>
      </c>
      <c r="E32" s="12" t="s">
        <v>459</v>
      </c>
      <c r="F32" s="12" t="s">
        <v>392</v>
      </c>
      <c r="G32" s="12" t="s">
        <v>460</v>
      </c>
      <c r="H32" s="12" t="s">
        <v>345</v>
      </c>
      <c r="I32" s="12" t="str">
        <f aca="false">IF(G32="","",IF(COUNTIF(Registro!$G$5:$G$804,G32)&gt;0,"SI","NO"))</f>
        <v>SI</v>
      </c>
    </row>
    <row r="33" customFormat="false" ht="15" hidden="false" customHeight="false" outlineLevel="0" collapsed="false">
      <c r="A33" s="33" t="n">
        <v>46110</v>
      </c>
      <c r="B33" s="12" t="str">
        <f aca="false">TEXT(A33,"yyyy-mm")</f>
        <v>2026-03</v>
      </c>
      <c r="C33" s="12" t="s">
        <v>340</v>
      </c>
      <c r="D33" s="12" t="s">
        <v>461</v>
      </c>
      <c r="E33" s="12" t="s">
        <v>462</v>
      </c>
      <c r="F33" s="12" t="s">
        <v>463</v>
      </c>
      <c r="G33" s="12" t="s">
        <v>464</v>
      </c>
      <c r="H33" s="12" t="s">
        <v>351</v>
      </c>
      <c r="I33" s="12" t="str">
        <f aca="false">IF(G33="","",IF(COUNTIF(Registro!$G$5:$G$804,G33)&gt;0,"SI","NO"))</f>
        <v>SI</v>
      </c>
    </row>
    <row r="34" customFormat="false" ht="15" hidden="false" customHeight="false" outlineLevel="0" collapsed="false">
      <c r="A34" s="33" t="n">
        <v>46110</v>
      </c>
      <c r="B34" s="12" t="str">
        <f aca="false">TEXT(A34,"yyyy-mm")</f>
        <v>2026-03</v>
      </c>
      <c r="C34" s="12" t="s">
        <v>340</v>
      </c>
      <c r="D34" s="12" t="s">
        <v>465</v>
      </c>
      <c r="E34" s="12" t="s">
        <v>466</v>
      </c>
      <c r="F34" s="12" t="s">
        <v>467</v>
      </c>
      <c r="G34" s="12" t="s">
        <v>468</v>
      </c>
      <c r="H34" s="12" t="s">
        <v>345</v>
      </c>
      <c r="I34" s="12" t="str">
        <f aca="false">IF(G34="","",IF(COUNTIF(Registro!$G$5:$G$804,G34)&gt;0,"SI","NO"))</f>
        <v>SI</v>
      </c>
    </row>
    <row r="35" customFormat="false" ht="15" hidden="false" customHeight="false" outlineLevel="0" collapsed="false">
      <c r="A35" s="33" t="n">
        <v>45958</v>
      </c>
      <c r="B35" s="12" t="str">
        <f aca="false">TEXT(A35,"yyyy-mm")</f>
        <v>2025-10</v>
      </c>
      <c r="C35" s="12" t="s">
        <v>469</v>
      </c>
      <c r="D35" s="12" t="s">
        <v>470</v>
      </c>
      <c r="E35" s="12" t="s">
        <v>471</v>
      </c>
      <c r="F35" s="12" t="s">
        <v>472</v>
      </c>
      <c r="G35" s="12" t="s">
        <v>473</v>
      </c>
      <c r="H35" s="12" t="s">
        <v>345</v>
      </c>
      <c r="I35" s="12" t="str">
        <f aca="false">IF(G35="","",IF(COUNTIF(Registro!$G$5:$G$804,G35)&gt;0,"SI","NO"))</f>
        <v>NO</v>
      </c>
    </row>
    <row r="36" customFormat="false" ht="15" hidden="false" customHeight="false" outlineLevel="0" collapsed="false">
      <c r="A36" s="33" t="n">
        <v>45957</v>
      </c>
      <c r="B36" s="12" t="str">
        <f aca="false">TEXT(A36,"yyyy-mm")</f>
        <v>2025-10</v>
      </c>
      <c r="C36" s="12" t="s">
        <v>469</v>
      </c>
      <c r="D36" s="12" t="s">
        <v>474</v>
      </c>
      <c r="E36" s="12" t="s">
        <v>475</v>
      </c>
      <c r="F36" s="12" t="s">
        <v>400</v>
      </c>
      <c r="G36" s="12" t="s">
        <v>476</v>
      </c>
      <c r="H36" s="12" t="s">
        <v>345</v>
      </c>
      <c r="I36" s="12" t="str">
        <f aca="false">IF(G36="","",IF(COUNTIF(Registro!$G$5:$G$804,G36)&gt;0,"SI","NO"))</f>
        <v>NO</v>
      </c>
    </row>
    <row r="37" customFormat="false" ht="15" hidden="false" customHeight="false" outlineLevel="0" collapsed="false">
      <c r="A37" s="33" t="n">
        <v>45952</v>
      </c>
      <c r="B37" s="12" t="str">
        <f aca="false">TEXT(A37,"yyyy-mm")</f>
        <v>2025-10</v>
      </c>
      <c r="C37" s="12" t="s">
        <v>469</v>
      </c>
      <c r="D37" s="12" t="s">
        <v>477</v>
      </c>
      <c r="E37" s="12" t="s">
        <v>478</v>
      </c>
      <c r="F37" s="12" t="s">
        <v>441</v>
      </c>
      <c r="G37" s="12" t="s">
        <v>479</v>
      </c>
      <c r="H37" s="12" t="s">
        <v>345</v>
      </c>
      <c r="I37" s="12" t="str">
        <f aca="false">IF(G37="","",IF(COUNTIF(Registro!$G$5:$G$804,G37)&gt;0,"SI","NO"))</f>
        <v>NO</v>
      </c>
    </row>
    <row r="38" customFormat="false" ht="15" hidden="false" customHeight="false" outlineLevel="0" collapsed="false">
      <c r="A38" s="33" t="n">
        <v>45952</v>
      </c>
      <c r="B38" s="12" t="str">
        <f aca="false">TEXT(A38,"yyyy-mm")</f>
        <v>2025-10</v>
      </c>
      <c r="C38" s="12" t="s">
        <v>469</v>
      </c>
      <c r="D38" s="12" t="s">
        <v>480</v>
      </c>
      <c r="E38" s="12" t="s">
        <v>481</v>
      </c>
      <c r="F38" s="12" t="s">
        <v>453</v>
      </c>
      <c r="G38" s="12" t="s">
        <v>482</v>
      </c>
      <c r="H38" s="12" t="s">
        <v>345</v>
      </c>
      <c r="I38" s="12" t="str">
        <f aca="false">IF(G38="","",IF(COUNTIF(Registro!$G$5:$G$804,G38)&gt;0,"SI","NO"))</f>
        <v>NO</v>
      </c>
    </row>
    <row r="39" customFormat="false" ht="15" hidden="false" customHeight="false" outlineLevel="0" collapsed="false">
      <c r="A39" s="33" t="n">
        <v>45951</v>
      </c>
      <c r="B39" s="12" t="str">
        <f aca="false">TEXT(A39,"yyyy-mm")</f>
        <v>2025-10</v>
      </c>
      <c r="C39" s="12" t="s">
        <v>469</v>
      </c>
      <c r="D39" s="12" t="s">
        <v>483</v>
      </c>
      <c r="E39" s="12" t="s">
        <v>484</v>
      </c>
      <c r="F39" s="12" t="s">
        <v>485</v>
      </c>
      <c r="G39" s="12" t="s">
        <v>486</v>
      </c>
      <c r="H39" s="12" t="s">
        <v>345</v>
      </c>
      <c r="I39" s="12" t="str">
        <f aca="false">IF(G39="","",IF(COUNTIF(Registro!$G$5:$G$804,G39)&gt;0,"SI","NO"))</f>
        <v>NO</v>
      </c>
    </row>
    <row r="40" customFormat="false" ht="15" hidden="false" customHeight="false" outlineLevel="0" collapsed="false">
      <c r="A40" s="33" t="n">
        <v>45943</v>
      </c>
      <c r="B40" s="12" t="str">
        <f aca="false">TEXT(A40,"yyyy-mm")</f>
        <v>2025-10</v>
      </c>
      <c r="C40" s="12" t="s">
        <v>469</v>
      </c>
      <c r="D40" s="12" t="s">
        <v>487</v>
      </c>
      <c r="E40" s="12" t="s">
        <v>488</v>
      </c>
      <c r="F40" s="12" t="s">
        <v>489</v>
      </c>
      <c r="G40" s="12" t="s">
        <v>490</v>
      </c>
      <c r="H40" s="12" t="s">
        <v>345</v>
      </c>
      <c r="I40" s="12" t="str">
        <f aca="false">IF(G40="","",IF(COUNTIF(Registro!$G$5:$G$804,G40)&gt;0,"SI","NO"))</f>
        <v>NO</v>
      </c>
    </row>
    <row r="41" customFormat="false" ht="15" hidden="false" customHeight="false" outlineLevel="0" collapsed="false">
      <c r="A41" s="33" t="n">
        <v>45936</v>
      </c>
      <c r="B41" s="12" t="str">
        <f aca="false">TEXT(A41,"yyyy-mm")</f>
        <v>2025-10</v>
      </c>
      <c r="C41" s="12" t="s">
        <v>469</v>
      </c>
      <c r="D41" s="12" t="s">
        <v>347</v>
      </c>
      <c r="E41" s="12" t="s">
        <v>491</v>
      </c>
      <c r="F41" s="12" t="s">
        <v>492</v>
      </c>
      <c r="G41" s="12" t="s">
        <v>493</v>
      </c>
      <c r="H41" s="12" t="s">
        <v>345</v>
      </c>
      <c r="I41" s="12" t="str">
        <f aca="false">IF(G41="","",IF(COUNTIF(Registro!$G$5:$G$804,G41)&gt;0,"SI","NO"))</f>
        <v>NO</v>
      </c>
    </row>
    <row r="42" customFormat="false" ht="15" hidden="false" customHeight="false" outlineLevel="0" collapsed="false">
      <c r="A42" s="33" t="n">
        <v>45934</v>
      </c>
      <c r="B42" s="12" t="str">
        <f aca="false">TEXT(A42,"yyyy-mm")</f>
        <v>2025-10</v>
      </c>
      <c r="C42" s="12" t="s">
        <v>469</v>
      </c>
      <c r="D42" s="12" t="s">
        <v>494</v>
      </c>
      <c r="E42" s="12" t="s">
        <v>495</v>
      </c>
      <c r="F42" s="12" t="s">
        <v>496</v>
      </c>
      <c r="G42" s="12" t="s">
        <v>497</v>
      </c>
      <c r="H42" s="12" t="s">
        <v>345</v>
      </c>
      <c r="I42" s="12" t="str">
        <f aca="false">IF(G42="","",IF(COUNTIF(Registro!$G$5:$G$804,G42)&gt;0,"SI","NO"))</f>
        <v>NO</v>
      </c>
    </row>
    <row r="43" customFormat="false" ht="15" hidden="false" customHeight="false" outlineLevel="0" collapsed="false">
      <c r="A43" s="33" t="n">
        <v>45922</v>
      </c>
      <c r="B43" s="12" t="str">
        <f aca="false">TEXT(A43,"yyyy-mm")</f>
        <v>2025-09</v>
      </c>
      <c r="C43" s="12" t="s">
        <v>469</v>
      </c>
      <c r="D43" s="12" t="s">
        <v>498</v>
      </c>
      <c r="E43" s="12" t="s">
        <v>499</v>
      </c>
      <c r="F43" s="12" t="s">
        <v>500</v>
      </c>
      <c r="G43" s="12" t="s">
        <v>501</v>
      </c>
      <c r="H43" s="12" t="s">
        <v>345</v>
      </c>
      <c r="I43" s="12" t="str">
        <f aca="false">IF(G43="","",IF(COUNTIF(Registro!$G$5:$G$804,G43)&gt;0,"SI","NO"))</f>
        <v>NO</v>
      </c>
    </row>
    <row r="44" customFormat="false" ht="15" hidden="false" customHeight="false" outlineLevel="0" collapsed="false">
      <c r="A44" s="33" t="n">
        <v>45922</v>
      </c>
      <c r="B44" s="12" t="str">
        <f aca="false">TEXT(A44,"yyyy-mm")</f>
        <v>2025-09</v>
      </c>
      <c r="C44" s="12" t="s">
        <v>469</v>
      </c>
      <c r="D44" s="12" t="s">
        <v>502</v>
      </c>
      <c r="E44" s="12" t="s">
        <v>503</v>
      </c>
      <c r="F44" s="12" t="s">
        <v>504</v>
      </c>
      <c r="G44" s="12" t="s">
        <v>505</v>
      </c>
      <c r="H44" s="12" t="s">
        <v>345</v>
      </c>
      <c r="I44" s="12" t="str">
        <f aca="false">IF(G44="","",IF(COUNTIF(Registro!$G$5:$G$804,G44)&gt;0,"SI","NO"))</f>
        <v>NO</v>
      </c>
    </row>
    <row r="45" customFormat="false" ht="15" hidden="false" customHeight="false" outlineLevel="0" collapsed="false">
      <c r="A45" s="33" t="n">
        <v>45917</v>
      </c>
      <c r="B45" s="12" t="str">
        <f aca="false">TEXT(A45,"yyyy-mm")</f>
        <v>2025-09</v>
      </c>
      <c r="C45" s="12" t="s">
        <v>469</v>
      </c>
      <c r="D45" s="12" t="s">
        <v>506</v>
      </c>
      <c r="E45" s="12" t="s">
        <v>507</v>
      </c>
      <c r="F45" s="12" t="s">
        <v>508</v>
      </c>
      <c r="G45" s="12" t="s">
        <v>509</v>
      </c>
      <c r="H45" s="12" t="s">
        <v>345</v>
      </c>
      <c r="I45" s="12" t="str">
        <f aca="false">IF(G45="","",IF(COUNTIF(Registro!$G$5:$G$804,G45)&gt;0,"SI","NO"))</f>
        <v>NO</v>
      </c>
    </row>
    <row r="46" customFormat="false" ht="15" hidden="false" customHeight="false" outlineLevel="0" collapsed="false">
      <c r="A46" s="33" t="n">
        <v>45914</v>
      </c>
      <c r="B46" s="12" t="str">
        <f aca="false">TEXT(A46,"yyyy-mm")</f>
        <v>2025-09</v>
      </c>
      <c r="C46" s="12" t="s">
        <v>469</v>
      </c>
      <c r="D46" s="12" t="s">
        <v>510</v>
      </c>
      <c r="E46" s="12" t="s">
        <v>511</v>
      </c>
      <c r="F46" s="12" t="s">
        <v>512</v>
      </c>
      <c r="G46" s="12" t="s">
        <v>513</v>
      </c>
      <c r="H46" s="12" t="s">
        <v>351</v>
      </c>
      <c r="I46" s="12" t="str">
        <f aca="false">IF(G46="","",IF(COUNTIF(Registro!$G$5:$G$804,G46)&gt;0,"SI","NO"))</f>
        <v>NO</v>
      </c>
    </row>
    <row r="47" customFormat="false" ht="15" hidden="false" customHeight="false" outlineLevel="0" collapsed="false">
      <c r="A47" s="33" t="n">
        <v>45911</v>
      </c>
      <c r="B47" s="12" t="str">
        <f aca="false">TEXT(A47,"yyyy-mm")</f>
        <v>2025-09</v>
      </c>
      <c r="C47" s="12" t="s">
        <v>469</v>
      </c>
      <c r="D47" s="12" t="s">
        <v>514</v>
      </c>
      <c r="E47" s="12" t="s">
        <v>515</v>
      </c>
      <c r="F47" s="12" t="s">
        <v>516</v>
      </c>
      <c r="G47" s="12" t="s">
        <v>517</v>
      </c>
      <c r="H47" s="12" t="s">
        <v>345</v>
      </c>
      <c r="I47" s="12" t="str">
        <f aca="false">IF(G47="","",IF(COUNTIF(Registro!$G$5:$G$804,G47)&gt;0,"SI","NO"))</f>
        <v>NO</v>
      </c>
    </row>
    <row r="48" customFormat="false" ht="15" hidden="false" customHeight="false" outlineLevel="0" collapsed="false">
      <c r="A48" s="33" t="n">
        <v>45910</v>
      </c>
      <c r="B48" s="12" t="str">
        <f aca="false">TEXT(A48,"yyyy-mm")</f>
        <v>2025-09</v>
      </c>
      <c r="C48" s="12" t="s">
        <v>469</v>
      </c>
      <c r="D48" s="12" t="s">
        <v>518</v>
      </c>
      <c r="E48" s="12" t="s">
        <v>519</v>
      </c>
      <c r="F48" s="12" t="s">
        <v>520</v>
      </c>
      <c r="G48" s="12" t="s">
        <v>521</v>
      </c>
      <c r="H48" s="12" t="s">
        <v>345</v>
      </c>
      <c r="I48" s="12" t="str">
        <f aca="false">IF(G48="","",IF(COUNTIF(Registro!$G$5:$G$804,G48)&gt;0,"SI","NO"))</f>
        <v>NO</v>
      </c>
    </row>
    <row r="49" customFormat="false" ht="15" hidden="false" customHeight="false" outlineLevel="0" collapsed="false">
      <c r="A49" s="33" t="n">
        <v>45910</v>
      </c>
      <c r="B49" s="12" t="str">
        <f aca="false">TEXT(A49,"yyyy-mm")</f>
        <v>2025-09</v>
      </c>
      <c r="C49" s="12" t="s">
        <v>469</v>
      </c>
      <c r="D49" s="12" t="s">
        <v>375</v>
      </c>
      <c r="E49" s="12" t="s">
        <v>522</v>
      </c>
      <c r="F49" s="12" t="s">
        <v>413</v>
      </c>
      <c r="G49" s="12" t="s">
        <v>523</v>
      </c>
      <c r="H49" s="12" t="s">
        <v>351</v>
      </c>
      <c r="I49" s="12" t="str">
        <f aca="false">IF(G49="","",IF(COUNTIF(Registro!$G$5:$G$804,G49)&gt;0,"SI","NO"))</f>
        <v>NO</v>
      </c>
    </row>
    <row r="50" customFormat="false" ht="15" hidden="false" customHeight="false" outlineLevel="0" collapsed="false">
      <c r="A50" s="33" t="n">
        <v>45909</v>
      </c>
      <c r="B50" s="12" t="str">
        <f aca="false">TEXT(A50,"yyyy-mm")</f>
        <v>2025-09</v>
      </c>
      <c r="C50" s="12" t="s">
        <v>469</v>
      </c>
      <c r="D50" s="12" t="s">
        <v>524</v>
      </c>
      <c r="E50" s="12" t="s">
        <v>525</v>
      </c>
      <c r="F50" s="12" t="s">
        <v>526</v>
      </c>
      <c r="G50" s="12" t="s">
        <v>527</v>
      </c>
      <c r="H50" s="12" t="s">
        <v>345</v>
      </c>
      <c r="I50" s="12" t="str">
        <f aca="false">IF(G50="","",IF(COUNTIF(Registro!$G$5:$G$804,G50)&gt;0,"SI","NO"))</f>
        <v>NO</v>
      </c>
    </row>
    <row r="51" customFormat="false" ht="15" hidden="false" customHeight="false" outlineLevel="0" collapsed="false">
      <c r="A51" s="33" t="n">
        <v>45903</v>
      </c>
      <c r="B51" s="12" t="str">
        <f aca="false">TEXT(A51,"yyyy-mm")</f>
        <v>2025-09</v>
      </c>
      <c r="C51" s="12" t="s">
        <v>469</v>
      </c>
      <c r="D51" s="12" t="s">
        <v>528</v>
      </c>
      <c r="E51" s="12" t="s">
        <v>529</v>
      </c>
      <c r="F51" s="12" t="s">
        <v>530</v>
      </c>
      <c r="G51" s="12" t="s">
        <v>531</v>
      </c>
      <c r="H51" s="12" t="s">
        <v>345</v>
      </c>
      <c r="I51" s="12" t="str">
        <f aca="false">IF(G51="","",IF(COUNTIF(Registro!$G$5:$G$804,G51)&gt;0,"SI","NO"))</f>
        <v>NO</v>
      </c>
    </row>
    <row r="52" customFormat="false" ht="15" hidden="false" customHeight="false" outlineLevel="0" collapsed="false">
      <c r="A52" s="33" t="n">
        <v>45901</v>
      </c>
      <c r="B52" s="12" t="str">
        <f aca="false">TEXT(A52,"yyyy-mm")</f>
        <v>2025-09</v>
      </c>
      <c r="C52" s="12" t="s">
        <v>469</v>
      </c>
      <c r="D52" s="12" t="s">
        <v>532</v>
      </c>
      <c r="E52" s="12" t="s">
        <v>533</v>
      </c>
      <c r="F52" s="12" t="s">
        <v>534</v>
      </c>
      <c r="G52" s="12" t="s">
        <v>535</v>
      </c>
      <c r="H52" s="12" t="s">
        <v>345</v>
      </c>
      <c r="I52" s="12" t="str">
        <f aca="false">IF(G52="","",IF(COUNTIF(Registro!$G$5:$G$804,G52)&gt;0,"SI","NO"))</f>
        <v>NO</v>
      </c>
    </row>
    <row r="53" customFormat="false" ht="15" hidden="false" customHeight="false" outlineLevel="0" collapsed="false">
      <c r="A53" s="33" t="n">
        <v>45899</v>
      </c>
      <c r="B53" s="12" t="str">
        <f aca="false">TEXT(A53,"yyyy-mm")</f>
        <v>2025-08</v>
      </c>
      <c r="C53" s="12" t="s">
        <v>469</v>
      </c>
      <c r="D53" s="12" t="s">
        <v>536</v>
      </c>
      <c r="E53" s="12" t="s">
        <v>537</v>
      </c>
      <c r="F53" s="12" t="s">
        <v>538</v>
      </c>
      <c r="G53" s="12" t="s">
        <v>539</v>
      </c>
      <c r="H53" s="12" t="s">
        <v>345</v>
      </c>
      <c r="I53" s="12" t="str">
        <f aca="false">IF(G53="","",IF(COUNTIF(Registro!$G$5:$G$804,G53)&gt;0,"SI","NO"))</f>
        <v>NO</v>
      </c>
    </row>
    <row r="54" customFormat="false" ht="15" hidden="false" customHeight="false" outlineLevel="0" collapsed="false">
      <c r="A54" s="33" t="n">
        <v>45899</v>
      </c>
      <c r="B54" s="12" t="str">
        <f aca="false">TEXT(A54,"yyyy-mm")</f>
        <v>2025-08</v>
      </c>
      <c r="C54" s="12" t="s">
        <v>469</v>
      </c>
      <c r="D54" s="12" t="s">
        <v>540</v>
      </c>
      <c r="E54" s="12" t="s">
        <v>541</v>
      </c>
      <c r="F54" s="12" t="s">
        <v>542</v>
      </c>
      <c r="G54" s="12" t="s">
        <v>543</v>
      </c>
      <c r="H54" s="12" t="s">
        <v>351</v>
      </c>
      <c r="I54" s="12" t="str">
        <f aca="false">IF(G54="","",IF(COUNTIF(Registro!$G$5:$G$804,G54)&gt;0,"SI","NO"))</f>
        <v>NO</v>
      </c>
    </row>
    <row r="55" customFormat="false" ht="15" hidden="false" customHeight="false" outlineLevel="0" collapsed="false">
      <c r="A55" s="33" t="n">
        <v>45897</v>
      </c>
      <c r="B55" s="12" t="str">
        <f aca="false">TEXT(A55,"yyyy-mm")</f>
        <v>2025-08</v>
      </c>
      <c r="C55" s="12" t="s">
        <v>469</v>
      </c>
      <c r="D55" s="12" t="s">
        <v>544</v>
      </c>
      <c r="E55" s="12" t="s">
        <v>545</v>
      </c>
      <c r="F55" s="12" t="s">
        <v>449</v>
      </c>
      <c r="G55" s="12" t="s">
        <v>546</v>
      </c>
      <c r="H55" s="12" t="s">
        <v>345</v>
      </c>
      <c r="I55" s="12" t="str">
        <f aca="false">IF(G55="","",IF(COUNTIF(Registro!$G$5:$G$804,G55)&gt;0,"SI","NO"))</f>
        <v>NO</v>
      </c>
    </row>
    <row r="56" customFormat="false" ht="15" hidden="false" customHeight="false" outlineLevel="0" collapsed="false">
      <c r="A56" s="33" t="n">
        <v>45894</v>
      </c>
      <c r="B56" s="12" t="str">
        <f aca="false">TEXT(A56,"yyyy-mm")</f>
        <v>2025-08</v>
      </c>
      <c r="C56" s="12" t="s">
        <v>469</v>
      </c>
      <c r="D56" s="12" t="s">
        <v>547</v>
      </c>
      <c r="E56" s="12" t="s">
        <v>548</v>
      </c>
      <c r="F56" s="12" t="s">
        <v>433</v>
      </c>
      <c r="G56" s="12" t="s">
        <v>549</v>
      </c>
      <c r="H56" s="12" t="s">
        <v>345</v>
      </c>
      <c r="I56" s="12" t="str">
        <f aca="false">IF(G56="","",IF(COUNTIF(Registro!$G$5:$G$804,G56)&gt;0,"SI","NO"))</f>
        <v>NO</v>
      </c>
    </row>
    <row r="57" customFormat="false" ht="15" hidden="false" customHeight="false" outlineLevel="0" collapsed="false">
      <c r="A57" s="33" t="n">
        <v>45894</v>
      </c>
      <c r="B57" s="12" t="str">
        <f aca="false">TEXT(A57,"yyyy-mm")</f>
        <v>2025-08</v>
      </c>
      <c r="C57" s="12" t="s">
        <v>469</v>
      </c>
      <c r="D57" s="12" t="s">
        <v>550</v>
      </c>
      <c r="E57" s="12" t="s">
        <v>551</v>
      </c>
      <c r="F57" s="12" t="s">
        <v>552</v>
      </c>
      <c r="G57" s="12" t="s">
        <v>553</v>
      </c>
      <c r="H57" s="12" t="s">
        <v>345</v>
      </c>
      <c r="I57" s="12" t="str">
        <f aca="false">IF(G57="","",IF(COUNTIF(Registro!$G$5:$G$804,G57)&gt;0,"SI","NO"))</f>
        <v>NO</v>
      </c>
    </row>
    <row r="58" customFormat="false" ht="15" hidden="false" customHeight="false" outlineLevel="0" collapsed="false">
      <c r="A58" s="33" t="n">
        <v>45886</v>
      </c>
      <c r="B58" s="12" t="str">
        <f aca="false">TEXT(A58,"yyyy-mm")</f>
        <v>2025-08</v>
      </c>
      <c r="C58" s="12" t="s">
        <v>469</v>
      </c>
      <c r="D58" s="12" t="s">
        <v>554</v>
      </c>
      <c r="E58" s="12" t="s">
        <v>555</v>
      </c>
      <c r="F58" s="12" t="s">
        <v>556</v>
      </c>
      <c r="G58" s="12" t="s">
        <v>557</v>
      </c>
      <c r="H58" s="12" t="s">
        <v>345</v>
      </c>
      <c r="I58" s="12" t="str">
        <f aca="false">IF(G58="","",IF(COUNTIF(Registro!$G$5:$G$804,G58)&gt;0,"SI","NO"))</f>
        <v>NO</v>
      </c>
    </row>
    <row r="59" customFormat="false" ht="15" hidden="false" customHeight="false" outlineLevel="0" collapsed="false">
      <c r="A59" s="33" t="n">
        <v>45884</v>
      </c>
      <c r="B59" s="12" t="str">
        <f aca="false">TEXT(A59,"yyyy-mm")</f>
        <v>2025-08</v>
      </c>
      <c r="C59" s="12" t="s">
        <v>469</v>
      </c>
      <c r="D59" s="12" t="s">
        <v>558</v>
      </c>
      <c r="E59" s="12" t="s">
        <v>559</v>
      </c>
      <c r="F59" s="12" t="s">
        <v>560</v>
      </c>
      <c r="G59" s="12" t="s">
        <v>561</v>
      </c>
      <c r="H59" s="12" t="s">
        <v>345</v>
      </c>
      <c r="I59" s="12" t="str">
        <f aca="false">IF(G59="","",IF(COUNTIF(Registro!$G$5:$G$804,G59)&gt;0,"SI","NO"))</f>
        <v>NO</v>
      </c>
    </row>
    <row r="60" customFormat="false" ht="15" hidden="false" customHeight="false" outlineLevel="0" collapsed="false">
      <c r="A60" s="33" t="n">
        <v>45883</v>
      </c>
      <c r="B60" s="12" t="str">
        <f aca="false">TEXT(A60,"yyyy-mm")</f>
        <v>2025-08</v>
      </c>
      <c r="C60" s="12" t="s">
        <v>469</v>
      </c>
      <c r="D60" s="12" t="s">
        <v>562</v>
      </c>
      <c r="E60" s="12" t="s">
        <v>563</v>
      </c>
      <c r="F60" s="12" t="s">
        <v>564</v>
      </c>
      <c r="G60" s="12" t="s">
        <v>565</v>
      </c>
      <c r="H60" s="12" t="s">
        <v>345</v>
      </c>
      <c r="I60" s="12" t="str">
        <f aca="false">IF(G60="","",IF(COUNTIF(Registro!$G$5:$G$804,G60)&gt;0,"SI","NO"))</f>
        <v>NO</v>
      </c>
    </row>
    <row r="61" customFormat="false" ht="15" hidden="false" customHeight="false" outlineLevel="0" collapsed="false">
      <c r="A61" s="33" t="n">
        <v>45883</v>
      </c>
      <c r="B61" s="12" t="str">
        <f aca="false">TEXT(A61,"yyyy-mm")</f>
        <v>2025-08</v>
      </c>
      <c r="C61" s="12" t="s">
        <v>469</v>
      </c>
      <c r="D61" s="12" t="s">
        <v>562</v>
      </c>
      <c r="E61" s="12" t="s">
        <v>563</v>
      </c>
      <c r="F61" s="12" t="s">
        <v>564</v>
      </c>
      <c r="G61" s="12" t="s">
        <v>566</v>
      </c>
      <c r="H61" s="12" t="s">
        <v>345</v>
      </c>
      <c r="I61" s="12" t="str">
        <f aca="false">IF(G61="","",IF(COUNTIF(Registro!$G$5:$G$804,G61)&gt;0,"SI","NO"))</f>
        <v>NO</v>
      </c>
    </row>
    <row r="62" customFormat="false" ht="15" hidden="false" customHeight="false" outlineLevel="0" collapsed="false">
      <c r="A62" s="33" t="n">
        <v>45880</v>
      </c>
      <c r="B62" s="12" t="str">
        <f aca="false">TEXT(A62,"yyyy-mm")</f>
        <v>2025-08</v>
      </c>
      <c r="C62" s="12" t="s">
        <v>469</v>
      </c>
      <c r="D62" s="12" t="s">
        <v>567</v>
      </c>
      <c r="E62" s="12" t="s">
        <v>568</v>
      </c>
      <c r="F62" s="12" t="s">
        <v>569</v>
      </c>
      <c r="G62" s="12" t="s">
        <v>570</v>
      </c>
      <c r="H62" s="12" t="s">
        <v>351</v>
      </c>
      <c r="I62" s="12" t="str">
        <f aca="false">IF(G62="","",IF(COUNTIF(Registro!$G$5:$G$804,G62)&gt;0,"SI","NO"))</f>
        <v>NO</v>
      </c>
    </row>
    <row r="63" customFormat="false" ht="15" hidden="false" customHeight="false" outlineLevel="0" collapsed="false">
      <c r="A63" s="33" t="n">
        <v>45872</v>
      </c>
      <c r="B63" s="12" t="str">
        <f aca="false">TEXT(A63,"yyyy-mm")</f>
        <v>2025-08</v>
      </c>
      <c r="C63" s="12" t="s">
        <v>469</v>
      </c>
      <c r="D63" s="12" t="s">
        <v>571</v>
      </c>
      <c r="E63" s="12" t="s">
        <v>572</v>
      </c>
      <c r="F63" s="12" t="s">
        <v>573</v>
      </c>
      <c r="G63" s="12" t="s">
        <v>574</v>
      </c>
      <c r="H63" s="12" t="s">
        <v>351</v>
      </c>
      <c r="I63" s="12" t="str">
        <f aca="false">IF(G63="","",IF(COUNTIF(Registro!$G$5:$G$804,G63)&gt;0,"SI","NO"))</f>
        <v>NO</v>
      </c>
    </row>
    <row r="64" customFormat="false" ht="15" hidden="false" customHeight="false" outlineLevel="0" collapsed="false">
      <c r="A64" s="33" t="n">
        <v>45872</v>
      </c>
      <c r="B64" s="12" t="str">
        <f aca="false">TEXT(A64,"yyyy-mm")</f>
        <v>2025-08</v>
      </c>
      <c r="C64" s="12" t="s">
        <v>469</v>
      </c>
      <c r="D64" s="12" t="s">
        <v>575</v>
      </c>
      <c r="E64" s="12" t="s">
        <v>576</v>
      </c>
      <c r="F64" s="12" t="s">
        <v>577</v>
      </c>
      <c r="G64" s="12" t="s">
        <v>578</v>
      </c>
      <c r="H64" s="12" t="s">
        <v>345</v>
      </c>
      <c r="I64" s="12" t="str">
        <f aca="false">IF(G64="","",IF(COUNTIF(Registro!$G$5:$G$804,G64)&gt;0,"SI","NO"))</f>
        <v>NO</v>
      </c>
    </row>
    <row r="65" customFormat="false" ht="15" hidden="false" customHeight="false" outlineLevel="0" collapsed="false">
      <c r="A65" s="33" t="n">
        <v>45871</v>
      </c>
      <c r="B65" s="12" t="str">
        <f aca="false">TEXT(A65,"yyyy-mm")</f>
        <v>2025-08</v>
      </c>
      <c r="C65" s="12" t="s">
        <v>469</v>
      </c>
      <c r="D65" s="12" t="s">
        <v>579</v>
      </c>
      <c r="E65" s="12" t="s">
        <v>580</v>
      </c>
      <c r="F65" s="12" t="s">
        <v>581</v>
      </c>
      <c r="G65" s="12" t="s">
        <v>582</v>
      </c>
      <c r="H65" s="12" t="s">
        <v>345</v>
      </c>
      <c r="I65" s="12" t="str">
        <f aca="false">IF(G65="","",IF(COUNTIF(Registro!$G$5:$G$804,G65)&gt;0,"SI","NO"))</f>
        <v>NO</v>
      </c>
    </row>
    <row r="66" customFormat="false" ht="15" hidden="false" customHeight="false" outlineLevel="0" collapsed="false">
      <c r="A66" s="33" t="n">
        <v>45870</v>
      </c>
      <c r="B66" s="12" t="str">
        <f aca="false">TEXT(A66,"yyyy-mm")</f>
        <v>2025-08</v>
      </c>
      <c r="C66" s="12" t="s">
        <v>469</v>
      </c>
      <c r="D66" s="12" t="s">
        <v>583</v>
      </c>
      <c r="E66" s="12" t="s">
        <v>584</v>
      </c>
      <c r="F66" s="12" t="s">
        <v>585</v>
      </c>
      <c r="G66" s="12" t="s">
        <v>586</v>
      </c>
      <c r="H66" s="12" t="s">
        <v>351</v>
      </c>
      <c r="I66" s="12" t="str">
        <f aca="false">IF(G66="","",IF(COUNTIF(Registro!$G$5:$G$804,G66)&gt;0,"SI","NO"))</f>
        <v>NO</v>
      </c>
    </row>
    <row r="67" customFormat="false" ht="15" hidden="false" customHeight="false" outlineLevel="0" collapsed="false">
      <c r="A67" s="33" t="n">
        <v>45870</v>
      </c>
      <c r="B67" s="12" t="str">
        <f aca="false">TEXT(A67,"yyyy-mm")</f>
        <v>2025-08</v>
      </c>
      <c r="C67" s="12" t="s">
        <v>469</v>
      </c>
      <c r="D67" s="12" t="s">
        <v>587</v>
      </c>
      <c r="E67" s="12" t="s">
        <v>588</v>
      </c>
      <c r="F67" s="12" t="s">
        <v>573</v>
      </c>
      <c r="G67" s="12" t="s">
        <v>589</v>
      </c>
      <c r="H67" s="12" t="s">
        <v>351</v>
      </c>
      <c r="I67" s="12" t="str">
        <f aca="false">IF(G67="","",IF(COUNTIF(Registro!$G$5:$G$804,G67)&gt;0,"SI","NO"))</f>
        <v>NO</v>
      </c>
    </row>
    <row r="68" customFormat="false" ht="15" hidden="false" customHeight="false" outlineLevel="0" collapsed="false">
      <c r="A68" s="33" t="n">
        <v>45869</v>
      </c>
      <c r="B68" s="12" t="str">
        <f aca="false">TEXT(A68,"yyyy-mm")</f>
        <v>2025-07</v>
      </c>
      <c r="C68" s="12" t="s">
        <v>469</v>
      </c>
      <c r="D68" s="12" t="s">
        <v>347</v>
      </c>
      <c r="E68" s="12" t="s">
        <v>590</v>
      </c>
      <c r="F68" s="12" t="s">
        <v>591</v>
      </c>
      <c r="G68" s="12" t="s">
        <v>592</v>
      </c>
      <c r="H68" s="12" t="s">
        <v>345</v>
      </c>
      <c r="I68" s="12" t="str">
        <f aca="false">IF(G68="","",IF(COUNTIF(Registro!$G$5:$G$804,G68)&gt;0,"SI","NO"))</f>
        <v>NO</v>
      </c>
    </row>
    <row r="69" customFormat="false" ht="15" hidden="false" customHeight="false" outlineLevel="0" collapsed="false">
      <c r="A69" s="33" t="n">
        <v>45869</v>
      </c>
      <c r="B69" s="12" t="str">
        <f aca="false">TEXT(A69,"yyyy-mm")</f>
        <v>2025-07</v>
      </c>
      <c r="C69" s="12" t="s">
        <v>469</v>
      </c>
      <c r="D69" s="12" t="s">
        <v>593</v>
      </c>
      <c r="E69" s="12" t="s">
        <v>594</v>
      </c>
      <c r="F69" s="12" t="s">
        <v>355</v>
      </c>
      <c r="G69" s="12" t="s">
        <v>595</v>
      </c>
      <c r="H69" s="12" t="s">
        <v>351</v>
      </c>
      <c r="I69" s="12" t="str">
        <f aca="false">IF(G69="","",IF(COUNTIF(Registro!$G$5:$G$804,G69)&gt;0,"SI","NO"))</f>
        <v>NO</v>
      </c>
    </row>
    <row r="70" customFormat="false" ht="15" hidden="false" customHeight="false" outlineLevel="0" collapsed="false">
      <c r="A70" s="33" t="n">
        <v>45868</v>
      </c>
      <c r="B70" s="12" t="str">
        <f aca="false">TEXT(A70,"yyyy-mm")</f>
        <v>2025-07</v>
      </c>
      <c r="C70" s="12" t="s">
        <v>469</v>
      </c>
      <c r="D70" s="12" t="s">
        <v>596</v>
      </c>
      <c r="E70" s="12" t="s">
        <v>597</v>
      </c>
      <c r="F70" s="12" t="s">
        <v>598</v>
      </c>
      <c r="G70" s="12" t="s">
        <v>599</v>
      </c>
      <c r="H70" s="12" t="s">
        <v>345</v>
      </c>
      <c r="I70" s="12" t="str">
        <f aca="false">IF(G70="","",IF(COUNTIF(Registro!$G$5:$G$804,G70)&gt;0,"SI","NO"))</f>
        <v>NO</v>
      </c>
    </row>
    <row r="71" customFormat="false" ht="15" hidden="false" customHeight="false" outlineLevel="0" collapsed="false">
      <c r="A71" s="33" t="n">
        <v>45866</v>
      </c>
      <c r="B71" s="12" t="str">
        <f aca="false">TEXT(A71,"yyyy-mm")</f>
        <v>2025-07</v>
      </c>
      <c r="C71" s="12" t="s">
        <v>469</v>
      </c>
      <c r="D71" s="12" t="s">
        <v>600</v>
      </c>
      <c r="E71" s="12" t="s">
        <v>601</v>
      </c>
      <c r="F71" s="12" t="s">
        <v>602</v>
      </c>
      <c r="G71" s="12" t="s">
        <v>603</v>
      </c>
      <c r="H71" s="12" t="s">
        <v>345</v>
      </c>
      <c r="I71" s="12" t="str">
        <f aca="false">IF(G71="","",IF(COUNTIF(Registro!$G$5:$G$804,G71)&gt;0,"SI","NO"))</f>
        <v>NO</v>
      </c>
    </row>
    <row r="72" customFormat="false" ht="15" hidden="false" customHeight="false" outlineLevel="0" collapsed="false">
      <c r="A72" s="33" t="n">
        <v>45866</v>
      </c>
      <c r="B72" s="12" t="str">
        <f aca="false">TEXT(A72,"yyyy-mm")</f>
        <v>2025-07</v>
      </c>
      <c r="C72" s="12" t="s">
        <v>469</v>
      </c>
      <c r="D72" s="12" t="s">
        <v>510</v>
      </c>
      <c r="E72" s="12" t="s">
        <v>604</v>
      </c>
      <c r="F72" s="12" t="s">
        <v>605</v>
      </c>
      <c r="G72" s="12" t="s">
        <v>606</v>
      </c>
      <c r="H72" s="12" t="s">
        <v>351</v>
      </c>
      <c r="I72" s="12" t="str">
        <f aca="false">IF(G72="","",IF(COUNTIF(Registro!$G$5:$G$804,G72)&gt;0,"SI","NO"))</f>
        <v>NO</v>
      </c>
    </row>
    <row r="73" customFormat="false" ht="15" hidden="false" customHeight="false" outlineLevel="0" collapsed="false">
      <c r="A73" s="33" t="n">
        <v>45860</v>
      </c>
      <c r="B73" s="12" t="str">
        <f aca="false">TEXT(A73,"yyyy-mm")</f>
        <v>2025-07</v>
      </c>
      <c r="C73" s="12" t="s">
        <v>469</v>
      </c>
      <c r="D73" s="12" t="s">
        <v>607</v>
      </c>
      <c r="E73" s="12" t="s">
        <v>608</v>
      </c>
      <c r="F73" s="12" t="s">
        <v>609</v>
      </c>
      <c r="G73" s="12" t="s">
        <v>610</v>
      </c>
      <c r="H73" s="12" t="s">
        <v>351</v>
      </c>
      <c r="I73" s="12" t="str">
        <f aca="false">IF(G73="","",IF(COUNTIF(Registro!$G$5:$G$804,G73)&gt;0,"SI","NO"))</f>
        <v>NO</v>
      </c>
    </row>
    <row r="74" customFormat="false" ht="15" hidden="false" customHeight="false" outlineLevel="0" collapsed="false">
      <c r="A74" s="33" t="n">
        <v>45858</v>
      </c>
      <c r="B74" s="12" t="str">
        <f aca="false">TEXT(A74,"yyyy-mm")</f>
        <v>2025-07</v>
      </c>
      <c r="C74" s="12" t="s">
        <v>469</v>
      </c>
      <c r="D74" s="12" t="s">
        <v>415</v>
      </c>
      <c r="E74" s="12" t="s">
        <v>611</v>
      </c>
      <c r="F74" s="12" t="s">
        <v>612</v>
      </c>
      <c r="G74" s="12" t="s">
        <v>613</v>
      </c>
      <c r="H74" s="12" t="s">
        <v>345</v>
      </c>
      <c r="I74" s="12" t="str">
        <f aca="false">IF(G74="","",IF(COUNTIF(Registro!$G$5:$G$804,G74)&gt;0,"SI","NO"))</f>
        <v>NO</v>
      </c>
    </row>
    <row r="75" customFormat="false" ht="15" hidden="false" customHeight="false" outlineLevel="0" collapsed="false">
      <c r="A75" s="33" t="n">
        <v>45854</v>
      </c>
      <c r="B75" s="12" t="str">
        <f aca="false">TEXT(A75,"yyyy-mm")</f>
        <v>2025-07</v>
      </c>
      <c r="C75" s="12" t="s">
        <v>469</v>
      </c>
      <c r="D75" s="12" t="s">
        <v>614</v>
      </c>
      <c r="E75" s="12" t="s">
        <v>615</v>
      </c>
      <c r="F75" s="12" t="s">
        <v>409</v>
      </c>
      <c r="G75" s="12" t="s">
        <v>616</v>
      </c>
      <c r="H75" s="12" t="s">
        <v>351</v>
      </c>
      <c r="I75" s="12" t="str">
        <f aca="false">IF(G75="","",IF(COUNTIF(Registro!$G$5:$G$804,G75)&gt;0,"SI","NO"))</f>
        <v>NO</v>
      </c>
    </row>
    <row r="76" customFormat="false" ht="15" hidden="false" customHeight="false" outlineLevel="0" collapsed="false">
      <c r="A76" s="33" t="n">
        <v>45854</v>
      </c>
      <c r="B76" s="12" t="str">
        <f aca="false">TEXT(A76,"yyyy-mm")</f>
        <v>2025-07</v>
      </c>
      <c r="C76" s="12" t="s">
        <v>469</v>
      </c>
      <c r="D76" s="12" t="s">
        <v>617</v>
      </c>
      <c r="E76" s="12" t="s">
        <v>618</v>
      </c>
      <c r="F76" s="12" t="s">
        <v>619</v>
      </c>
      <c r="G76" s="12" t="s">
        <v>620</v>
      </c>
      <c r="H76" s="12" t="s">
        <v>345</v>
      </c>
      <c r="I76" s="12" t="str">
        <f aca="false">IF(G76="","",IF(COUNTIF(Registro!$G$5:$G$804,G76)&gt;0,"SI","NO"))</f>
        <v>NO</v>
      </c>
    </row>
    <row r="77" customFormat="false" ht="15" hidden="false" customHeight="false" outlineLevel="0" collapsed="false">
      <c r="A77" s="33" t="n">
        <v>45854</v>
      </c>
      <c r="B77" s="12" t="str">
        <f aca="false">TEXT(A77,"yyyy-mm")</f>
        <v>2025-07</v>
      </c>
      <c r="C77" s="12" t="s">
        <v>469</v>
      </c>
      <c r="D77" s="12" t="s">
        <v>621</v>
      </c>
      <c r="E77" s="12" t="s">
        <v>622</v>
      </c>
      <c r="F77" s="12" t="s">
        <v>623</v>
      </c>
      <c r="G77" s="12" t="s">
        <v>624</v>
      </c>
      <c r="H77" s="12" t="s">
        <v>345</v>
      </c>
      <c r="I77" s="12" t="str">
        <f aca="false">IF(G77="","",IF(COUNTIF(Registro!$G$5:$G$804,G77)&gt;0,"SI","NO"))</f>
        <v>NO</v>
      </c>
    </row>
    <row r="78" customFormat="false" ht="15" hidden="false" customHeight="false" outlineLevel="0" collapsed="false">
      <c r="A78" s="33" t="n">
        <v>45852</v>
      </c>
      <c r="B78" s="12" t="str">
        <f aca="false">TEXT(A78,"yyyy-mm")</f>
        <v>2025-07</v>
      </c>
      <c r="C78" s="12" t="s">
        <v>469</v>
      </c>
      <c r="D78" s="12" t="s">
        <v>407</v>
      </c>
      <c r="E78" s="12" t="s">
        <v>625</v>
      </c>
      <c r="F78" s="12" t="s">
        <v>626</v>
      </c>
      <c r="G78" s="12" t="s">
        <v>627</v>
      </c>
      <c r="H78" s="12" t="s">
        <v>345</v>
      </c>
      <c r="I78" s="12" t="str">
        <f aca="false">IF(G78="","",IF(COUNTIF(Registro!$G$5:$G$804,G78)&gt;0,"SI","NO"))</f>
        <v>NO</v>
      </c>
    </row>
    <row r="79" customFormat="false" ht="15" hidden="false" customHeight="false" outlineLevel="0" collapsed="false">
      <c r="A79" s="33" t="n">
        <v>45849</v>
      </c>
      <c r="B79" s="12" t="str">
        <f aca="false">TEXT(A79,"yyyy-mm")</f>
        <v>2025-07</v>
      </c>
      <c r="C79" s="12" t="s">
        <v>469</v>
      </c>
      <c r="D79" s="12" t="s">
        <v>628</v>
      </c>
      <c r="E79" s="12" t="s">
        <v>629</v>
      </c>
      <c r="F79" s="12" t="s">
        <v>630</v>
      </c>
      <c r="G79" s="12" t="s">
        <v>631</v>
      </c>
      <c r="H79" s="12" t="s">
        <v>351</v>
      </c>
      <c r="I79" s="12" t="str">
        <f aca="false">IF(G79="","",IF(COUNTIF(Registro!$G$5:$G$804,G79)&gt;0,"SI","NO"))</f>
        <v>NO</v>
      </c>
    </row>
    <row r="80" customFormat="false" ht="15" hidden="false" customHeight="false" outlineLevel="0" collapsed="false">
      <c r="A80" s="33" t="n">
        <v>45848</v>
      </c>
      <c r="B80" s="12" t="str">
        <f aca="false">TEXT(A80,"yyyy-mm")</f>
        <v>2025-07</v>
      </c>
      <c r="C80" s="12" t="s">
        <v>469</v>
      </c>
      <c r="D80" s="12" t="s">
        <v>632</v>
      </c>
      <c r="E80" s="12" t="s">
        <v>633</v>
      </c>
      <c r="F80" s="12" t="s">
        <v>634</v>
      </c>
      <c r="G80" s="12" t="s">
        <v>635</v>
      </c>
      <c r="H80" s="12" t="s">
        <v>351</v>
      </c>
      <c r="I80" s="12" t="str">
        <f aca="false">IF(G80="","",IF(COUNTIF(Registro!$G$5:$G$804,G80)&gt;0,"SI","NO"))</f>
        <v>NO</v>
      </c>
    </row>
    <row r="81" customFormat="false" ht="15" hidden="false" customHeight="false" outlineLevel="0" collapsed="false">
      <c r="A81" s="33" t="n">
        <v>45845</v>
      </c>
      <c r="B81" s="12" t="str">
        <f aca="false">TEXT(A81,"yyyy-mm")</f>
        <v>2025-07</v>
      </c>
      <c r="C81" s="12" t="s">
        <v>469</v>
      </c>
      <c r="D81" s="12" t="s">
        <v>458</v>
      </c>
      <c r="E81" s="12" t="s">
        <v>636</v>
      </c>
      <c r="F81" s="12" t="s">
        <v>637</v>
      </c>
      <c r="G81" s="12" t="s">
        <v>638</v>
      </c>
      <c r="H81" s="12" t="s">
        <v>345</v>
      </c>
      <c r="I81" s="12" t="str">
        <f aca="false">IF(G81="","",IF(COUNTIF(Registro!$G$5:$G$804,G81)&gt;0,"SI","NO"))</f>
        <v>NO</v>
      </c>
    </row>
    <row r="82" customFormat="false" ht="15" hidden="false" customHeight="false" outlineLevel="0" collapsed="false">
      <c r="A82" s="33" t="n">
        <v>45844</v>
      </c>
      <c r="B82" s="12" t="str">
        <f aca="false">TEXT(A82,"yyyy-mm")</f>
        <v>2025-07</v>
      </c>
      <c r="C82" s="12" t="s">
        <v>469</v>
      </c>
      <c r="D82" s="12" t="s">
        <v>639</v>
      </c>
      <c r="E82" s="12" t="s">
        <v>640</v>
      </c>
      <c r="F82" s="12" t="s">
        <v>641</v>
      </c>
      <c r="G82" s="12" t="s">
        <v>642</v>
      </c>
      <c r="H82" s="12" t="s">
        <v>345</v>
      </c>
      <c r="I82" s="12" t="str">
        <f aca="false">IF(G82="","",IF(COUNTIF(Registro!$G$5:$G$804,G82)&gt;0,"SI","NO"))</f>
        <v>NO</v>
      </c>
    </row>
    <row r="83" customFormat="false" ht="15" hidden="false" customHeight="false" outlineLevel="0" collapsed="false">
      <c r="A83" s="33" t="n">
        <v>45840</v>
      </c>
      <c r="B83" s="12" t="str">
        <f aca="false">TEXT(A83,"yyyy-mm")</f>
        <v>2025-07</v>
      </c>
      <c r="C83" s="12" t="s">
        <v>469</v>
      </c>
      <c r="D83" s="12" t="s">
        <v>643</v>
      </c>
      <c r="E83" s="12" t="s">
        <v>644</v>
      </c>
      <c r="F83" s="12" t="s">
        <v>645</v>
      </c>
      <c r="G83" s="12" t="s">
        <v>646</v>
      </c>
      <c r="H83" s="12" t="s">
        <v>351</v>
      </c>
      <c r="I83" s="12" t="str">
        <f aca="false">IF(G83="","",IF(COUNTIF(Registro!$G$5:$G$804,G83)&gt;0,"SI","NO"))</f>
        <v>NO</v>
      </c>
    </row>
    <row r="84" customFormat="false" ht="15" hidden="false" customHeight="false" outlineLevel="0" collapsed="false">
      <c r="A84" s="33" t="n">
        <v>45840</v>
      </c>
      <c r="B84" s="12" t="str">
        <f aca="false">TEXT(A84,"yyyy-mm")</f>
        <v>2025-07</v>
      </c>
      <c r="C84" s="12" t="s">
        <v>469</v>
      </c>
      <c r="D84" s="12" t="s">
        <v>647</v>
      </c>
      <c r="E84" s="12" t="s">
        <v>648</v>
      </c>
      <c r="F84" s="12" t="s">
        <v>512</v>
      </c>
      <c r="G84" s="12" t="s">
        <v>649</v>
      </c>
      <c r="H84" s="12" t="s">
        <v>351</v>
      </c>
      <c r="I84" s="12" t="str">
        <f aca="false">IF(G84="","",IF(COUNTIF(Registro!$G$5:$G$804,G84)&gt;0,"SI","NO"))</f>
        <v>NO</v>
      </c>
    </row>
    <row r="85" customFormat="false" ht="15" hidden="false" customHeight="false" outlineLevel="0" collapsed="false">
      <c r="A85" s="33" t="n">
        <v>45838</v>
      </c>
      <c r="B85" s="12" t="str">
        <f aca="false">TEXT(A85,"yyyy-mm")</f>
        <v>2025-06</v>
      </c>
      <c r="C85" s="12" t="s">
        <v>469</v>
      </c>
      <c r="D85" s="12" t="s">
        <v>650</v>
      </c>
      <c r="E85" s="12" t="s">
        <v>651</v>
      </c>
      <c r="F85" s="12" t="s">
        <v>433</v>
      </c>
      <c r="G85" s="12" t="s">
        <v>652</v>
      </c>
      <c r="H85" s="12" t="s">
        <v>345</v>
      </c>
      <c r="I85" s="12" t="str">
        <f aca="false">IF(G85="","",IF(COUNTIF(Registro!$G$5:$G$804,G85)&gt;0,"SI","NO"))</f>
        <v>NO</v>
      </c>
    </row>
    <row r="86" customFormat="false" ht="15" hidden="false" customHeight="false" outlineLevel="0" collapsed="false">
      <c r="A86" s="33" t="n">
        <v>45836</v>
      </c>
      <c r="B86" s="12" t="str">
        <f aca="false">TEXT(A86,"yyyy-mm")</f>
        <v>2025-06</v>
      </c>
      <c r="C86" s="12" t="s">
        <v>469</v>
      </c>
      <c r="D86" s="12" t="s">
        <v>653</v>
      </c>
      <c r="E86" s="12" t="s">
        <v>654</v>
      </c>
      <c r="F86" s="12" t="s">
        <v>655</v>
      </c>
      <c r="G86" s="12" t="s">
        <v>656</v>
      </c>
      <c r="H86" s="12" t="s">
        <v>351</v>
      </c>
      <c r="I86" s="12" t="str">
        <f aca="false">IF(G86="","",IF(COUNTIF(Registro!$G$5:$G$804,G86)&gt;0,"SI","NO"))</f>
        <v>NO</v>
      </c>
    </row>
    <row r="87" customFormat="false" ht="15" hidden="false" customHeight="false" outlineLevel="0" collapsed="false">
      <c r="A87" s="33" t="n">
        <v>45835</v>
      </c>
      <c r="B87" s="12" t="str">
        <f aca="false">TEXT(A87,"yyyy-mm")</f>
        <v>2025-06</v>
      </c>
      <c r="C87" s="12" t="s">
        <v>469</v>
      </c>
      <c r="D87" s="12" t="s">
        <v>657</v>
      </c>
      <c r="E87" s="12" t="s">
        <v>658</v>
      </c>
      <c r="F87" s="12" t="s">
        <v>382</v>
      </c>
      <c r="G87" s="12" t="s">
        <v>659</v>
      </c>
      <c r="H87" s="12" t="s">
        <v>345</v>
      </c>
      <c r="I87" s="12" t="str">
        <f aca="false">IF(G87="","",IF(COUNTIF(Registro!$G$5:$G$804,G87)&gt;0,"SI","NO"))</f>
        <v>NO</v>
      </c>
    </row>
    <row r="88" customFormat="false" ht="15" hidden="false" customHeight="false" outlineLevel="0" collapsed="false">
      <c r="A88" s="33" t="n">
        <v>45835</v>
      </c>
      <c r="B88" s="12" t="str">
        <f aca="false">TEXT(A88,"yyyy-mm")</f>
        <v>2025-06</v>
      </c>
      <c r="C88" s="12" t="s">
        <v>469</v>
      </c>
      <c r="D88" s="12" t="s">
        <v>660</v>
      </c>
      <c r="E88" s="12" t="s">
        <v>661</v>
      </c>
      <c r="F88" s="12" t="s">
        <v>413</v>
      </c>
      <c r="G88" s="12" t="s">
        <v>662</v>
      </c>
      <c r="H88" s="12" t="s">
        <v>345</v>
      </c>
      <c r="I88" s="12" t="str">
        <f aca="false">IF(G88="","",IF(COUNTIF(Registro!$G$5:$G$804,G88)&gt;0,"SI","NO"))</f>
        <v>NO</v>
      </c>
    </row>
    <row r="89" customFormat="false" ht="15" hidden="false" customHeight="false" outlineLevel="0" collapsed="false">
      <c r="A89" s="33" t="n">
        <v>45834</v>
      </c>
      <c r="B89" s="12" t="str">
        <f aca="false">TEXT(A89,"yyyy-mm")</f>
        <v>2025-06</v>
      </c>
      <c r="C89" s="12" t="s">
        <v>469</v>
      </c>
      <c r="D89" s="12" t="s">
        <v>663</v>
      </c>
      <c r="E89" s="12" t="s">
        <v>664</v>
      </c>
      <c r="F89" s="12" t="s">
        <v>395</v>
      </c>
      <c r="G89" s="12" t="s">
        <v>665</v>
      </c>
      <c r="H89" s="12" t="s">
        <v>345</v>
      </c>
      <c r="I89" s="12" t="str">
        <f aca="false">IF(G89="","",IF(COUNTIF(Registro!$G$5:$G$804,G89)&gt;0,"SI","NO"))</f>
        <v>NO</v>
      </c>
    </row>
    <row r="90" customFormat="false" ht="15" hidden="false" customHeight="false" outlineLevel="0" collapsed="false">
      <c r="A90" s="33" t="n">
        <v>45832</v>
      </c>
      <c r="B90" s="12" t="str">
        <f aca="false">TEXT(A90,"yyyy-mm")</f>
        <v>2025-06</v>
      </c>
      <c r="C90" s="12" t="s">
        <v>469</v>
      </c>
      <c r="D90" s="12" t="s">
        <v>666</v>
      </c>
      <c r="E90" s="12" t="s">
        <v>667</v>
      </c>
      <c r="F90" s="12" t="s">
        <v>668</v>
      </c>
      <c r="G90" s="12" t="s">
        <v>669</v>
      </c>
      <c r="H90" s="12" t="s">
        <v>345</v>
      </c>
      <c r="I90" s="12" t="str">
        <f aca="false">IF(G90="","",IF(COUNTIF(Registro!$G$5:$G$804,G90)&gt;0,"SI","NO"))</f>
        <v>NO</v>
      </c>
    </row>
    <row r="91" customFormat="false" ht="15" hidden="false" customHeight="false" outlineLevel="0" collapsed="false">
      <c r="A91" s="33" t="n">
        <v>45824</v>
      </c>
      <c r="B91" s="12" t="str">
        <f aca="false">TEXT(A91,"yyyy-mm")</f>
        <v>2025-06</v>
      </c>
      <c r="C91" s="12" t="s">
        <v>469</v>
      </c>
      <c r="D91" s="12" t="s">
        <v>670</v>
      </c>
      <c r="E91" s="12" t="s">
        <v>671</v>
      </c>
      <c r="F91" s="12" t="s">
        <v>672</v>
      </c>
      <c r="G91" s="12" t="s">
        <v>673</v>
      </c>
      <c r="H91" s="12" t="s">
        <v>351</v>
      </c>
      <c r="I91" s="12" t="str">
        <f aca="false">IF(G91="","",IF(COUNTIF(Registro!$G$5:$G$804,G91)&gt;0,"SI","NO"))</f>
        <v>NO</v>
      </c>
    </row>
    <row r="92" customFormat="false" ht="15" hidden="false" customHeight="false" outlineLevel="0" collapsed="false">
      <c r="A92" s="33" t="n">
        <v>45816</v>
      </c>
      <c r="B92" s="12" t="str">
        <f aca="false">TEXT(A92,"yyyy-mm")</f>
        <v>2025-06</v>
      </c>
      <c r="C92" s="12" t="s">
        <v>469</v>
      </c>
      <c r="D92" s="12" t="s">
        <v>674</v>
      </c>
      <c r="E92" s="12" t="s">
        <v>675</v>
      </c>
      <c r="F92" s="12" t="s">
        <v>676</v>
      </c>
      <c r="G92" s="12" t="s">
        <v>677</v>
      </c>
      <c r="H92" s="12" t="s">
        <v>351</v>
      </c>
      <c r="I92" s="12" t="str">
        <f aca="false">IF(G92="","",IF(COUNTIF(Registro!$G$5:$G$804,G92)&gt;0,"SI","NO"))</f>
        <v>NO</v>
      </c>
    </row>
    <row r="93" customFormat="false" ht="15" hidden="false" customHeight="false" outlineLevel="0" collapsed="false">
      <c r="A93" s="33" t="n">
        <v>45806</v>
      </c>
      <c r="B93" s="12" t="str">
        <f aca="false">TEXT(A93,"yyyy-mm")</f>
        <v>2025-05</v>
      </c>
      <c r="C93" s="12" t="s">
        <v>469</v>
      </c>
      <c r="D93" s="12" t="s">
        <v>678</v>
      </c>
      <c r="E93" s="12" t="s">
        <v>679</v>
      </c>
      <c r="F93" s="12" t="s">
        <v>680</v>
      </c>
      <c r="G93" s="12" t="s">
        <v>681</v>
      </c>
      <c r="H93" s="12" t="s">
        <v>345</v>
      </c>
      <c r="I93" s="12" t="str">
        <f aca="false">IF(G93="","",IF(COUNTIF(Registro!$G$5:$G$804,G93)&gt;0,"SI","NO"))</f>
        <v>NO</v>
      </c>
    </row>
    <row r="94" customFormat="false" ht="15" hidden="false" customHeight="false" outlineLevel="0" collapsed="false">
      <c r="A94" s="33" t="n">
        <v>45804</v>
      </c>
      <c r="B94" s="12" t="str">
        <f aca="false">TEXT(A94,"yyyy-mm")</f>
        <v>2025-05</v>
      </c>
      <c r="C94" s="12" t="s">
        <v>469</v>
      </c>
      <c r="D94" s="12" t="s">
        <v>682</v>
      </c>
      <c r="E94" s="12" t="s">
        <v>683</v>
      </c>
      <c r="F94" s="12" t="s">
        <v>542</v>
      </c>
      <c r="G94" s="12" t="s">
        <v>684</v>
      </c>
      <c r="H94" s="12" t="s">
        <v>351</v>
      </c>
      <c r="I94" s="12" t="str">
        <f aca="false">IF(G94="","",IF(COUNTIF(Registro!$G$5:$G$804,G94)&gt;0,"SI","NO"))</f>
        <v>NO</v>
      </c>
    </row>
    <row r="95" customFormat="false" ht="15" hidden="false" customHeight="false" outlineLevel="0" collapsed="false">
      <c r="A95" s="33" t="n">
        <v>45802</v>
      </c>
      <c r="B95" s="12" t="str">
        <f aca="false">TEXT(A95,"yyyy-mm")</f>
        <v>2025-05</v>
      </c>
      <c r="C95" s="12" t="s">
        <v>469</v>
      </c>
      <c r="D95" s="12" t="s">
        <v>685</v>
      </c>
      <c r="E95" s="12" t="s">
        <v>140</v>
      </c>
      <c r="F95" s="12" t="s">
        <v>556</v>
      </c>
      <c r="G95" s="12" t="s">
        <v>686</v>
      </c>
      <c r="H95" s="12" t="s">
        <v>351</v>
      </c>
      <c r="I95" s="12" t="str">
        <f aca="false">IF(G95="","",IF(COUNTIF(Registro!$G$5:$G$804,G95)&gt;0,"SI","NO"))</f>
        <v>NO</v>
      </c>
    </row>
    <row r="96" customFormat="false" ht="15" hidden="false" customHeight="false" outlineLevel="0" collapsed="false">
      <c r="A96" s="33" t="n">
        <v>45798</v>
      </c>
      <c r="B96" s="12" t="str">
        <f aca="false">TEXT(A96,"yyyy-mm")</f>
        <v>2025-05</v>
      </c>
      <c r="C96" s="12" t="s">
        <v>469</v>
      </c>
      <c r="D96" s="12" t="s">
        <v>687</v>
      </c>
      <c r="E96" s="12" t="s">
        <v>688</v>
      </c>
      <c r="F96" s="12" t="s">
        <v>689</v>
      </c>
      <c r="G96" s="12" t="s">
        <v>690</v>
      </c>
      <c r="H96" s="12" t="s">
        <v>345</v>
      </c>
      <c r="I96" s="12" t="str">
        <f aca="false">IF(G96="","",IF(COUNTIF(Registro!$G$5:$G$804,G96)&gt;0,"SI","NO"))</f>
        <v>NO</v>
      </c>
    </row>
    <row r="97" customFormat="false" ht="15" hidden="false" customHeight="false" outlineLevel="0" collapsed="false">
      <c r="A97" s="33" t="n">
        <v>45798</v>
      </c>
      <c r="B97" s="12" t="str">
        <f aca="false">TEXT(A97,"yyyy-mm")</f>
        <v>2025-05</v>
      </c>
      <c r="C97" s="12" t="s">
        <v>469</v>
      </c>
      <c r="D97" s="12" t="s">
        <v>691</v>
      </c>
      <c r="E97" s="12" t="s">
        <v>692</v>
      </c>
      <c r="F97" s="12" t="s">
        <v>693</v>
      </c>
      <c r="G97" s="12" t="s">
        <v>694</v>
      </c>
      <c r="H97" s="12" t="s">
        <v>351</v>
      </c>
      <c r="I97" s="12" t="str">
        <f aca="false">IF(G97="","",IF(COUNTIF(Registro!$G$5:$G$804,G97)&gt;0,"SI","NO"))</f>
        <v>NO</v>
      </c>
    </row>
    <row r="98" customFormat="false" ht="15" hidden="false" customHeight="false" outlineLevel="0" collapsed="false">
      <c r="A98" s="33" t="n">
        <v>45796</v>
      </c>
      <c r="B98" s="12" t="str">
        <f aca="false">TEXT(A98,"yyyy-mm")</f>
        <v>2025-05</v>
      </c>
      <c r="C98" s="12" t="s">
        <v>469</v>
      </c>
      <c r="D98" s="12" t="s">
        <v>695</v>
      </c>
      <c r="E98" s="12" t="s">
        <v>696</v>
      </c>
      <c r="F98" s="12" t="s">
        <v>598</v>
      </c>
      <c r="G98" s="12" t="s">
        <v>697</v>
      </c>
      <c r="H98" s="12" t="s">
        <v>351</v>
      </c>
      <c r="I98" s="12" t="str">
        <f aca="false">IF(G98="","",IF(COUNTIF(Registro!$G$5:$G$804,G98)&gt;0,"SI","NO"))</f>
        <v>NO</v>
      </c>
    </row>
    <row r="99" customFormat="false" ht="15" hidden="false" customHeight="false" outlineLevel="0" collapsed="false">
      <c r="A99" s="33" t="n">
        <v>45794</v>
      </c>
      <c r="B99" s="12" t="str">
        <f aca="false">TEXT(A99,"yyyy-mm")</f>
        <v>2025-05</v>
      </c>
      <c r="C99" s="12" t="s">
        <v>469</v>
      </c>
      <c r="D99" s="12" t="s">
        <v>698</v>
      </c>
      <c r="E99" s="12" t="s">
        <v>699</v>
      </c>
      <c r="F99" s="12" t="s">
        <v>400</v>
      </c>
      <c r="G99" s="12" t="s">
        <v>700</v>
      </c>
      <c r="H99" s="12" t="s">
        <v>345</v>
      </c>
      <c r="I99" s="12" t="str">
        <f aca="false">IF(G99="","",IF(COUNTIF(Registro!$G$5:$G$804,G99)&gt;0,"SI","NO"))</f>
        <v>NO</v>
      </c>
    </row>
    <row r="100" customFormat="false" ht="15" hidden="false" customHeight="false" outlineLevel="0" collapsed="false">
      <c r="A100" s="33" t="n">
        <v>45791</v>
      </c>
      <c r="B100" s="12" t="str">
        <f aca="false">TEXT(A100,"yyyy-mm")</f>
        <v>2025-05</v>
      </c>
      <c r="C100" s="12" t="s">
        <v>469</v>
      </c>
      <c r="D100" s="12" t="s">
        <v>701</v>
      </c>
      <c r="E100" s="12" t="s">
        <v>702</v>
      </c>
      <c r="F100" s="12" t="s">
        <v>703</v>
      </c>
      <c r="G100" s="12" t="s">
        <v>704</v>
      </c>
      <c r="H100" s="12" t="s">
        <v>351</v>
      </c>
      <c r="I100" s="12" t="str">
        <f aca="false">IF(G100="","",IF(COUNTIF(Registro!$G$5:$G$804,G100)&gt;0,"SI","NO"))</f>
        <v>NO</v>
      </c>
    </row>
    <row r="101" customFormat="false" ht="15" hidden="false" customHeight="false" outlineLevel="0" collapsed="false">
      <c r="A101" s="33" t="n">
        <v>45790</v>
      </c>
      <c r="B101" s="12" t="str">
        <f aca="false">TEXT(A101,"yyyy-mm")</f>
        <v>2025-05</v>
      </c>
      <c r="C101" s="12" t="s">
        <v>469</v>
      </c>
      <c r="D101" s="12" t="s">
        <v>705</v>
      </c>
      <c r="E101" s="12" t="s">
        <v>706</v>
      </c>
      <c r="F101" s="12" t="s">
        <v>395</v>
      </c>
      <c r="G101" s="12" t="s">
        <v>707</v>
      </c>
      <c r="H101" s="12" t="s">
        <v>345</v>
      </c>
      <c r="I101" s="12" t="str">
        <f aca="false">IF(G101="","",IF(COUNTIF(Registro!$G$5:$G$804,G101)&gt;0,"SI","NO"))</f>
        <v>NO</v>
      </c>
    </row>
    <row r="102" customFormat="false" ht="15" hidden="false" customHeight="false" outlineLevel="0" collapsed="false">
      <c r="A102" s="33" t="n">
        <v>45790</v>
      </c>
      <c r="B102" s="12" t="str">
        <f aca="false">TEXT(A102,"yyyy-mm")</f>
        <v>2025-05</v>
      </c>
      <c r="C102" s="12" t="s">
        <v>469</v>
      </c>
      <c r="D102" s="12" t="s">
        <v>708</v>
      </c>
      <c r="E102" s="12" t="s">
        <v>709</v>
      </c>
      <c r="F102" s="12" t="s">
        <v>710</v>
      </c>
      <c r="G102" s="12" t="s">
        <v>711</v>
      </c>
      <c r="H102" s="12" t="s">
        <v>351</v>
      </c>
      <c r="I102" s="12" t="str">
        <f aca="false">IF(G102="","",IF(COUNTIF(Registro!$G$5:$G$804,G102)&gt;0,"SI","NO"))</f>
        <v>NO</v>
      </c>
    </row>
    <row r="103" customFormat="false" ht="15" hidden="false" customHeight="false" outlineLevel="0" collapsed="false">
      <c r="A103" s="33" t="n">
        <v>45790</v>
      </c>
      <c r="B103" s="12" t="str">
        <f aca="false">TEXT(A103,"yyyy-mm")</f>
        <v>2025-05</v>
      </c>
      <c r="C103" s="12" t="s">
        <v>469</v>
      </c>
      <c r="D103" s="12" t="s">
        <v>712</v>
      </c>
      <c r="E103" s="12" t="s">
        <v>713</v>
      </c>
      <c r="F103" s="12" t="s">
        <v>441</v>
      </c>
      <c r="G103" s="12" t="s">
        <v>714</v>
      </c>
      <c r="H103" s="12" t="s">
        <v>345</v>
      </c>
      <c r="I103" s="12" t="str">
        <f aca="false">IF(G103="","",IF(COUNTIF(Registro!$G$5:$G$804,G103)&gt;0,"SI","NO"))</f>
        <v>NO</v>
      </c>
    </row>
    <row r="104" customFormat="false" ht="15" hidden="false" customHeight="false" outlineLevel="0" collapsed="false">
      <c r="A104" s="33" t="n">
        <v>45789</v>
      </c>
      <c r="B104" s="12" t="str">
        <f aca="false">TEXT(A104,"yyyy-mm")</f>
        <v>2025-05</v>
      </c>
      <c r="C104" s="12" t="s">
        <v>469</v>
      </c>
      <c r="D104" s="12" t="s">
        <v>715</v>
      </c>
      <c r="E104" s="12" t="s">
        <v>716</v>
      </c>
      <c r="F104" s="12" t="s">
        <v>717</v>
      </c>
      <c r="G104" s="12" t="s">
        <v>718</v>
      </c>
      <c r="H104" s="12" t="s">
        <v>345</v>
      </c>
      <c r="I104" s="12" t="str">
        <f aca="false">IF(G104="","",IF(COUNTIF(Registro!$G$5:$G$804,G104)&gt;0,"SI","NO"))</f>
        <v>NO</v>
      </c>
    </row>
    <row r="105" customFormat="false" ht="15" hidden="false" customHeight="false" outlineLevel="0" collapsed="false">
      <c r="A105" s="33" t="n">
        <v>45789</v>
      </c>
      <c r="B105" s="12" t="str">
        <f aca="false">TEXT(A105,"yyyy-mm")</f>
        <v>2025-05</v>
      </c>
      <c r="C105" s="12" t="s">
        <v>469</v>
      </c>
      <c r="D105" s="12" t="s">
        <v>719</v>
      </c>
      <c r="E105" s="12" t="s">
        <v>720</v>
      </c>
      <c r="F105" s="12" t="s">
        <v>721</v>
      </c>
      <c r="G105" s="12" t="s">
        <v>722</v>
      </c>
      <c r="H105" s="12" t="s">
        <v>351</v>
      </c>
      <c r="I105" s="12" t="str">
        <f aca="false">IF(G105="","",IF(COUNTIF(Registro!$G$5:$G$804,G105)&gt;0,"SI","NO"))</f>
        <v>NO</v>
      </c>
    </row>
    <row r="106" customFormat="false" ht="15" hidden="false" customHeight="false" outlineLevel="0" collapsed="false">
      <c r="A106" s="33" t="n">
        <v>45789</v>
      </c>
      <c r="B106" s="12" t="str">
        <f aca="false">TEXT(A106,"yyyy-mm")</f>
        <v>2025-05</v>
      </c>
      <c r="C106" s="12" t="s">
        <v>469</v>
      </c>
      <c r="D106" s="12" t="s">
        <v>723</v>
      </c>
      <c r="E106" s="12" t="s">
        <v>724</v>
      </c>
      <c r="F106" s="12" t="s">
        <v>725</v>
      </c>
      <c r="G106" s="12" t="s">
        <v>726</v>
      </c>
      <c r="H106" s="12" t="s">
        <v>351</v>
      </c>
      <c r="I106" s="12" t="str">
        <f aca="false">IF(G106="","",IF(COUNTIF(Registro!$G$5:$G$804,G106)&gt;0,"SI","NO"))</f>
        <v>NO</v>
      </c>
    </row>
    <row r="107" customFormat="false" ht="15" hidden="false" customHeight="false" outlineLevel="0" collapsed="false">
      <c r="A107" s="33" t="n">
        <v>45789</v>
      </c>
      <c r="B107" s="12" t="str">
        <f aca="false">TEXT(A107,"yyyy-mm")</f>
        <v>2025-05</v>
      </c>
      <c r="C107" s="12" t="s">
        <v>469</v>
      </c>
      <c r="D107" s="12" t="s">
        <v>727</v>
      </c>
      <c r="E107" s="12" t="s">
        <v>728</v>
      </c>
      <c r="F107" s="12" t="s">
        <v>729</v>
      </c>
      <c r="G107" s="12" t="s">
        <v>730</v>
      </c>
      <c r="H107" s="12" t="s">
        <v>351</v>
      </c>
      <c r="I107" s="12" t="str">
        <f aca="false">IF(G107="","",IF(COUNTIF(Registro!$G$5:$G$804,G107)&gt;0,"SI","NO"))</f>
        <v>NO</v>
      </c>
    </row>
    <row r="108" customFormat="false" ht="15" hidden="false" customHeight="false" outlineLevel="0" collapsed="false">
      <c r="A108" s="33" t="n">
        <v>45788</v>
      </c>
      <c r="B108" s="12" t="str">
        <f aca="false">TEXT(A108,"yyyy-mm")</f>
        <v>2025-05</v>
      </c>
      <c r="C108" s="12" t="s">
        <v>469</v>
      </c>
      <c r="D108" s="12" t="s">
        <v>731</v>
      </c>
      <c r="E108" s="12" t="s">
        <v>732</v>
      </c>
      <c r="F108" s="12" t="s">
        <v>668</v>
      </c>
      <c r="G108" s="12" t="s">
        <v>733</v>
      </c>
      <c r="H108" s="12" t="s">
        <v>345</v>
      </c>
      <c r="I108" s="12" t="str">
        <f aca="false">IF(G108="","",IF(COUNTIF(Registro!$G$5:$G$804,G108)&gt;0,"SI","NO"))</f>
        <v>NO</v>
      </c>
    </row>
    <row r="109" customFormat="false" ht="15" hidden="false" customHeight="false" outlineLevel="0" collapsed="false">
      <c r="A109" s="33" t="n">
        <v>45785</v>
      </c>
      <c r="B109" s="12" t="str">
        <f aca="false">TEXT(A109,"yyyy-mm")</f>
        <v>2025-05</v>
      </c>
      <c r="C109" s="12" t="s">
        <v>469</v>
      </c>
      <c r="D109" s="12" t="s">
        <v>734</v>
      </c>
      <c r="E109" s="12" t="s">
        <v>735</v>
      </c>
      <c r="F109" s="12" t="s">
        <v>655</v>
      </c>
      <c r="G109" s="12" t="s">
        <v>736</v>
      </c>
      <c r="H109" s="12" t="s">
        <v>345</v>
      </c>
      <c r="I109" s="12" t="str">
        <f aca="false">IF(G109="","",IF(COUNTIF(Registro!$G$5:$G$804,G109)&gt;0,"SI","NO"))</f>
        <v>NO</v>
      </c>
    </row>
    <row r="110" customFormat="false" ht="15" hidden="false" customHeight="false" outlineLevel="0" collapsed="false">
      <c r="A110" s="33" t="n">
        <v>45784</v>
      </c>
      <c r="B110" s="12" t="str">
        <f aca="false">TEXT(A110,"yyyy-mm")</f>
        <v>2025-05</v>
      </c>
      <c r="C110" s="12" t="s">
        <v>469</v>
      </c>
      <c r="D110" s="12" t="s">
        <v>737</v>
      </c>
      <c r="E110" s="12" t="s">
        <v>738</v>
      </c>
      <c r="F110" s="12" t="s">
        <v>739</v>
      </c>
      <c r="G110" s="12" t="s">
        <v>740</v>
      </c>
      <c r="H110" s="12" t="s">
        <v>351</v>
      </c>
      <c r="I110" s="12" t="str">
        <f aca="false">IF(G110="","",IF(COUNTIF(Registro!$G$5:$G$804,G110)&gt;0,"SI","NO"))</f>
        <v>NO</v>
      </c>
    </row>
    <row r="111" customFormat="false" ht="15" hidden="false" customHeight="false" outlineLevel="0" collapsed="false">
      <c r="A111" s="33" t="n">
        <v>45779</v>
      </c>
      <c r="B111" s="12" t="str">
        <f aca="false">TEXT(A111,"yyyy-mm")</f>
        <v>2025-05</v>
      </c>
      <c r="C111" s="12" t="s">
        <v>469</v>
      </c>
      <c r="D111" s="12" t="s">
        <v>741</v>
      </c>
      <c r="E111" s="12" t="s">
        <v>742</v>
      </c>
      <c r="F111" s="12" t="s">
        <v>743</v>
      </c>
      <c r="G111" s="12" t="s">
        <v>744</v>
      </c>
      <c r="H111" s="12" t="s">
        <v>345</v>
      </c>
      <c r="I111" s="12" t="str">
        <f aca="false">IF(G111="","",IF(COUNTIF(Registro!$G$5:$G$804,G111)&gt;0,"SI","NO"))</f>
        <v>NO</v>
      </c>
    </row>
    <row r="112" customFormat="false" ht="15" hidden="false" customHeight="false" outlineLevel="0" collapsed="false">
      <c r="A112" s="33" t="n">
        <v>45778</v>
      </c>
      <c r="B112" s="12" t="str">
        <f aca="false">TEXT(A112,"yyyy-mm")</f>
        <v>2025-05</v>
      </c>
      <c r="C112" s="12" t="s">
        <v>469</v>
      </c>
      <c r="D112" s="12" t="s">
        <v>727</v>
      </c>
      <c r="E112" s="12" t="s">
        <v>745</v>
      </c>
      <c r="F112" s="12" t="s">
        <v>409</v>
      </c>
      <c r="G112" s="12" t="s">
        <v>746</v>
      </c>
      <c r="H112" s="12" t="s">
        <v>351</v>
      </c>
      <c r="I112" s="12" t="str">
        <f aca="false">IF(G112="","",IF(COUNTIF(Registro!$G$5:$G$804,G112)&gt;0,"SI","NO"))</f>
        <v>NO</v>
      </c>
    </row>
    <row r="113" customFormat="false" ht="15" hidden="false" customHeight="false" outlineLevel="0" collapsed="false">
      <c r="A113" s="33" t="n">
        <v>45774</v>
      </c>
      <c r="B113" s="12" t="str">
        <f aca="false">TEXT(A113,"yyyy-mm")</f>
        <v>2025-04</v>
      </c>
      <c r="C113" s="12" t="s">
        <v>469</v>
      </c>
      <c r="D113" s="12" t="s">
        <v>747</v>
      </c>
      <c r="E113" s="12" t="s">
        <v>748</v>
      </c>
      <c r="F113" s="12" t="s">
        <v>749</v>
      </c>
      <c r="G113" s="12" t="s">
        <v>750</v>
      </c>
      <c r="H113" s="12" t="s">
        <v>345</v>
      </c>
      <c r="I113" s="12" t="str">
        <f aca="false">IF(G113="","",IF(COUNTIF(Registro!$G$5:$G$804,G113)&gt;0,"SI","NO"))</f>
        <v>NO</v>
      </c>
    </row>
    <row r="114" customFormat="false" ht="15" hidden="false" customHeight="false" outlineLevel="0" collapsed="false">
      <c r="A114" s="33" t="n">
        <v>45765</v>
      </c>
      <c r="B114" s="12" t="str">
        <f aca="false">TEXT(A114,"yyyy-mm")</f>
        <v>2025-04</v>
      </c>
      <c r="C114" s="12" t="s">
        <v>469</v>
      </c>
      <c r="D114" s="12" t="s">
        <v>751</v>
      </c>
      <c r="E114" s="12" t="s">
        <v>752</v>
      </c>
      <c r="F114" s="12" t="s">
        <v>753</v>
      </c>
      <c r="G114" s="12" t="s">
        <v>754</v>
      </c>
      <c r="H114" s="12" t="s">
        <v>351</v>
      </c>
      <c r="I114" s="12" t="str">
        <f aca="false">IF(G114="","",IF(COUNTIF(Registro!$G$5:$G$804,G114)&gt;0,"SI","NO"))</f>
        <v>NO</v>
      </c>
    </row>
    <row r="115" customFormat="false" ht="15" hidden="false" customHeight="false" outlineLevel="0" collapsed="false">
      <c r="A115" s="33" t="n">
        <v>45763</v>
      </c>
      <c r="B115" s="12" t="str">
        <f aca="false">TEXT(A115,"yyyy-mm")</f>
        <v>2025-04</v>
      </c>
      <c r="C115" s="12" t="s">
        <v>469</v>
      </c>
      <c r="D115" s="12" t="s">
        <v>470</v>
      </c>
      <c r="E115" s="12" t="s">
        <v>528</v>
      </c>
      <c r="F115" s="12" t="s">
        <v>585</v>
      </c>
      <c r="G115" s="12" t="s">
        <v>755</v>
      </c>
      <c r="H115" s="12" t="s">
        <v>345</v>
      </c>
      <c r="I115" s="12" t="str">
        <f aca="false">IF(G115="","",IF(COUNTIF(Registro!$G$5:$G$804,G115)&gt;0,"SI","NO"))</f>
        <v>NO</v>
      </c>
    </row>
    <row r="116" customFormat="false" ht="15" hidden="false" customHeight="false" outlineLevel="0" collapsed="false">
      <c r="A116" s="33" t="n">
        <v>45760</v>
      </c>
      <c r="B116" s="12" t="str">
        <f aca="false">TEXT(A116,"yyyy-mm")</f>
        <v>2025-04</v>
      </c>
      <c r="C116" s="12" t="s">
        <v>469</v>
      </c>
      <c r="D116" s="12" t="s">
        <v>756</v>
      </c>
      <c r="E116" s="12" t="s">
        <v>757</v>
      </c>
      <c r="F116" s="12" t="s">
        <v>693</v>
      </c>
      <c r="G116" s="12" t="s">
        <v>758</v>
      </c>
      <c r="H116" s="12" t="s">
        <v>345</v>
      </c>
      <c r="I116" s="12" t="str">
        <f aca="false">IF(G116="","",IF(COUNTIF(Registro!$G$5:$G$804,G116)&gt;0,"SI","NO"))</f>
        <v>NO</v>
      </c>
    </row>
    <row r="117" customFormat="false" ht="15" hidden="false" customHeight="false" outlineLevel="0" collapsed="false">
      <c r="A117" s="33" t="n">
        <v>45754</v>
      </c>
      <c r="B117" s="12" t="str">
        <f aca="false">TEXT(A117,"yyyy-mm")</f>
        <v>2025-04</v>
      </c>
      <c r="C117" s="12" t="s">
        <v>469</v>
      </c>
      <c r="D117" s="12" t="s">
        <v>575</v>
      </c>
      <c r="E117" s="12" t="s">
        <v>759</v>
      </c>
      <c r="F117" s="12" t="s">
        <v>760</v>
      </c>
      <c r="G117" s="12" t="s">
        <v>761</v>
      </c>
      <c r="H117" s="12" t="s">
        <v>345</v>
      </c>
      <c r="I117" s="12" t="str">
        <f aca="false">IF(G117="","",IF(COUNTIF(Registro!$G$5:$G$804,G117)&gt;0,"SI","NO"))</f>
        <v>NO</v>
      </c>
    </row>
    <row r="118" customFormat="false" ht="15" hidden="false" customHeight="false" outlineLevel="0" collapsed="false">
      <c r="A118" s="33" t="n">
        <v>45754</v>
      </c>
      <c r="B118" s="12" t="str">
        <f aca="false">TEXT(A118,"yyyy-mm")</f>
        <v>2025-04</v>
      </c>
      <c r="C118" s="12" t="s">
        <v>469</v>
      </c>
      <c r="D118" s="12" t="s">
        <v>762</v>
      </c>
      <c r="E118" s="12" t="s">
        <v>763</v>
      </c>
      <c r="F118" s="12" t="s">
        <v>485</v>
      </c>
      <c r="G118" s="12" t="s">
        <v>764</v>
      </c>
      <c r="H118" s="12" t="s">
        <v>345</v>
      </c>
      <c r="I118" s="12" t="str">
        <f aca="false">IF(G118="","",IF(COUNTIF(Registro!$G$5:$G$804,G118)&gt;0,"SI","NO"))</f>
        <v>NO</v>
      </c>
    </row>
    <row r="119" customFormat="false" ht="15" hidden="false" customHeight="false" outlineLevel="0" collapsed="false">
      <c r="A119" s="33" t="n">
        <v>45749</v>
      </c>
      <c r="B119" s="12" t="str">
        <f aca="false">TEXT(A119,"yyyy-mm")</f>
        <v>2025-04</v>
      </c>
      <c r="C119" s="12" t="s">
        <v>469</v>
      </c>
      <c r="D119" s="12" t="s">
        <v>765</v>
      </c>
      <c r="E119" s="12" t="s">
        <v>766</v>
      </c>
      <c r="F119" s="12" t="s">
        <v>767</v>
      </c>
      <c r="G119" s="12" t="s">
        <v>768</v>
      </c>
      <c r="H119" s="12" t="s">
        <v>351</v>
      </c>
      <c r="I119" s="12" t="str">
        <f aca="false">IF(G119="","",IF(COUNTIF(Registro!$G$5:$G$804,G119)&gt;0,"SI","NO"))</f>
        <v>NO</v>
      </c>
    </row>
    <row r="120" customFormat="false" ht="15" hidden="false" customHeight="false" outlineLevel="0" collapsed="false">
      <c r="A120" s="33" t="n">
        <v>45747</v>
      </c>
      <c r="B120" s="12" t="str">
        <f aca="false">TEXT(A120,"yyyy-mm")</f>
        <v>2025-03</v>
      </c>
      <c r="C120" s="12" t="s">
        <v>469</v>
      </c>
      <c r="D120" s="12" t="s">
        <v>769</v>
      </c>
      <c r="E120" s="12" t="s">
        <v>770</v>
      </c>
      <c r="F120" s="12" t="s">
        <v>771</v>
      </c>
      <c r="G120" s="12" t="s">
        <v>772</v>
      </c>
      <c r="H120" s="12" t="s">
        <v>351</v>
      </c>
      <c r="I120" s="12" t="str">
        <f aca="false">IF(G120="","",IF(COUNTIF(Registro!$G$5:$G$804,G120)&gt;0,"SI","NO"))</f>
        <v>NO</v>
      </c>
    </row>
    <row r="121" customFormat="false" ht="15" hidden="false" customHeight="false" outlineLevel="0" collapsed="false">
      <c r="A121" s="33" t="n">
        <v>45747</v>
      </c>
      <c r="B121" s="12" t="str">
        <f aca="false">TEXT(A121,"yyyy-mm")</f>
        <v>2025-03</v>
      </c>
      <c r="C121" s="12" t="s">
        <v>469</v>
      </c>
      <c r="D121" s="12" t="s">
        <v>617</v>
      </c>
      <c r="E121" s="12" t="s">
        <v>773</v>
      </c>
      <c r="F121" s="12" t="s">
        <v>774</v>
      </c>
      <c r="G121" s="12" t="s">
        <v>775</v>
      </c>
      <c r="H121" s="12" t="s">
        <v>351</v>
      </c>
      <c r="I121" s="12" t="str">
        <f aca="false">IF(G121="","",IF(COUNTIF(Registro!$G$5:$G$804,G121)&gt;0,"SI","NO"))</f>
        <v>NO</v>
      </c>
    </row>
    <row r="122" customFormat="false" ht="15" hidden="false" customHeight="false" outlineLevel="0" collapsed="false">
      <c r="A122" s="33" t="n">
        <v>45744</v>
      </c>
      <c r="B122" s="12" t="str">
        <f aca="false">TEXT(A122,"yyyy-mm")</f>
        <v>2025-03</v>
      </c>
      <c r="C122" s="12" t="s">
        <v>469</v>
      </c>
      <c r="D122" s="12" t="s">
        <v>762</v>
      </c>
      <c r="E122" s="12" t="s">
        <v>776</v>
      </c>
      <c r="F122" s="12" t="s">
        <v>777</v>
      </c>
      <c r="G122" s="12" t="s">
        <v>778</v>
      </c>
      <c r="H122" s="12" t="s">
        <v>345</v>
      </c>
      <c r="I122" s="12" t="str">
        <f aca="false">IF(G122="","",IF(COUNTIF(Registro!$G$5:$G$804,G122)&gt;0,"SI","NO"))</f>
        <v>NO</v>
      </c>
    </row>
    <row r="123" customFormat="false" ht="15" hidden="false" customHeight="false" outlineLevel="0" collapsed="false">
      <c r="A123" s="33" t="n">
        <v>45743</v>
      </c>
      <c r="B123" s="12" t="str">
        <f aca="false">TEXT(A123,"yyyy-mm")</f>
        <v>2025-03</v>
      </c>
      <c r="C123" s="12" t="s">
        <v>469</v>
      </c>
      <c r="D123" s="12" t="s">
        <v>779</v>
      </c>
      <c r="E123" s="12" t="s">
        <v>780</v>
      </c>
      <c r="F123" s="12" t="s">
        <v>781</v>
      </c>
      <c r="G123" s="12" t="s">
        <v>782</v>
      </c>
      <c r="H123" s="12" t="s">
        <v>345</v>
      </c>
      <c r="I123" s="12" t="str">
        <f aca="false">IF(G123="","",IF(COUNTIF(Registro!$G$5:$G$804,G123)&gt;0,"SI","NO"))</f>
        <v>NO</v>
      </c>
    </row>
    <row r="124" customFormat="false" ht="15" hidden="false" customHeight="false" outlineLevel="0" collapsed="false">
      <c r="A124" s="33" t="n">
        <v>45742</v>
      </c>
      <c r="B124" s="12" t="str">
        <f aca="false">TEXT(A124,"yyyy-mm")</f>
        <v>2025-03</v>
      </c>
      <c r="C124" s="12" t="s">
        <v>469</v>
      </c>
      <c r="D124" s="12" t="s">
        <v>783</v>
      </c>
      <c r="E124" s="12" t="s">
        <v>784</v>
      </c>
      <c r="F124" s="12" t="s">
        <v>489</v>
      </c>
      <c r="G124" s="12" t="s">
        <v>785</v>
      </c>
      <c r="H124" s="12" t="s">
        <v>345</v>
      </c>
      <c r="I124" s="12" t="str">
        <f aca="false">IF(G124="","",IF(COUNTIF(Registro!$G$5:$G$804,G124)&gt;0,"SI","NO"))</f>
        <v>NO</v>
      </c>
    </row>
    <row r="125" customFormat="false" ht="15" hidden="false" customHeight="false" outlineLevel="0" collapsed="false">
      <c r="A125" s="33" t="n">
        <v>45741</v>
      </c>
      <c r="B125" s="12" t="str">
        <f aca="false">TEXT(A125,"yyyy-mm")</f>
        <v>2025-03</v>
      </c>
      <c r="C125" s="12" t="s">
        <v>469</v>
      </c>
      <c r="D125" s="12" t="s">
        <v>786</v>
      </c>
      <c r="E125" s="12" t="s">
        <v>787</v>
      </c>
      <c r="F125" s="12" t="s">
        <v>788</v>
      </c>
      <c r="G125" s="12" t="s">
        <v>789</v>
      </c>
      <c r="H125" s="12" t="s">
        <v>345</v>
      </c>
      <c r="I125" s="12" t="str">
        <f aca="false">IF(G125="","",IF(COUNTIF(Registro!$G$5:$G$804,G125)&gt;0,"SI","NO"))</f>
        <v>NO</v>
      </c>
    </row>
    <row r="126" customFormat="false" ht="15" hidden="false" customHeight="false" outlineLevel="0" collapsed="false">
      <c r="A126" s="33" t="n">
        <v>45740</v>
      </c>
      <c r="B126" s="12" t="str">
        <f aca="false">TEXT(A126,"yyyy-mm")</f>
        <v>2025-03</v>
      </c>
      <c r="C126" s="12" t="s">
        <v>469</v>
      </c>
      <c r="D126" s="12" t="s">
        <v>790</v>
      </c>
      <c r="E126" s="12" t="s">
        <v>791</v>
      </c>
      <c r="F126" s="12" t="s">
        <v>504</v>
      </c>
      <c r="G126" s="12" t="s">
        <v>792</v>
      </c>
      <c r="H126" s="12" t="s">
        <v>345</v>
      </c>
      <c r="I126" s="12" t="str">
        <f aca="false">IF(G126="","",IF(COUNTIF(Registro!$G$5:$G$804,G126)&gt;0,"SI","NO"))</f>
        <v>NO</v>
      </c>
    </row>
    <row r="127" customFormat="false" ht="15" hidden="false" customHeight="false" outlineLevel="0" collapsed="false">
      <c r="A127" s="33" t="n">
        <v>45739</v>
      </c>
      <c r="B127" s="12" t="str">
        <f aca="false">TEXT(A127,"yyyy-mm")</f>
        <v>2025-03</v>
      </c>
      <c r="C127" s="12" t="s">
        <v>469</v>
      </c>
      <c r="D127" s="12" t="s">
        <v>540</v>
      </c>
      <c r="E127" s="12" t="s">
        <v>793</v>
      </c>
      <c r="F127" s="12" t="s">
        <v>710</v>
      </c>
      <c r="G127" s="12" t="s">
        <v>794</v>
      </c>
      <c r="H127" s="12" t="s">
        <v>345</v>
      </c>
      <c r="I127" s="12" t="str">
        <f aca="false">IF(G127="","",IF(COUNTIF(Registro!$G$5:$G$804,G127)&gt;0,"SI","NO"))</f>
        <v>NO</v>
      </c>
    </row>
    <row r="128" customFormat="false" ht="15" hidden="false" customHeight="false" outlineLevel="0" collapsed="false">
      <c r="A128" s="33" t="n">
        <v>45738</v>
      </c>
      <c r="B128" s="12" t="str">
        <f aca="false">TEXT(A128,"yyyy-mm")</f>
        <v>2025-03</v>
      </c>
      <c r="C128" s="12" t="s">
        <v>469</v>
      </c>
      <c r="D128" s="12" t="s">
        <v>795</v>
      </c>
      <c r="E128" s="12" t="s">
        <v>796</v>
      </c>
      <c r="F128" s="12" t="s">
        <v>797</v>
      </c>
      <c r="G128" s="12" t="s">
        <v>798</v>
      </c>
      <c r="H128" s="12" t="s">
        <v>351</v>
      </c>
      <c r="I128" s="12" t="str">
        <f aca="false">IF(G128="","",IF(COUNTIF(Registro!$G$5:$G$804,G128)&gt;0,"SI","NO"))</f>
        <v>NO</v>
      </c>
    </row>
    <row r="129" customFormat="false" ht="15" hidden="false" customHeight="false" outlineLevel="0" collapsed="false">
      <c r="A129" s="33" t="n">
        <v>45737</v>
      </c>
      <c r="B129" s="12" t="str">
        <f aca="false">TEXT(A129,"yyyy-mm")</f>
        <v>2025-03</v>
      </c>
      <c r="C129" s="12" t="s">
        <v>469</v>
      </c>
      <c r="D129" s="12" t="s">
        <v>799</v>
      </c>
      <c r="E129" s="12" t="s">
        <v>800</v>
      </c>
      <c r="F129" s="12" t="s">
        <v>801</v>
      </c>
      <c r="G129" s="12" t="s">
        <v>802</v>
      </c>
      <c r="H129" s="12" t="s">
        <v>351</v>
      </c>
      <c r="I129" s="12" t="str">
        <f aca="false">IF(G129="","",IF(COUNTIF(Registro!$G$5:$G$804,G129)&gt;0,"SI","NO"))</f>
        <v>NO</v>
      </c>
    </row>
    <row r="130" customFormat="false" ht="15" hidden="false" customHeight="false" outlineLevel="0" collapsed="false">
      <c r="A130" s="33" t="n">
        <v>45736</v>
      </c>
      <c r="B130" s="12" t="str">
        <f aca="false">TEXT(A130,"yyyy-mm")</f>
        <v>2025-03</v>
      </c>
      <c r="C130" s="12" t="s">
        <v>469</v>
      </c>
      <c r="D130" s="12" t="s">
        <v>803</v>
      </c>
      <c r="E130" s="12" t="s">
        <v>804</v>
      </c>
      <c r="F130" s="12" t="s">
        <v>805</v>
      </c>
      <c r="G130" s="12" t="s">
        <v>806</v>
      </c>
      <c r="H130" s="12" t="s">
        <v>345</v>
      </c>
      <c r="I130" s="12" t="str">
        <f aca="false">IF(G130="","",IF(COUNTIF(Registro!$G$5:$G$804,G130)&gt;0,"SI","NO"))</f>
        <v>NO</v>
      </c>
    </row>
    <row r="131" customFormat="false" ht="15" hidden="false" customHeight="false" outlineLevel="0" collapsed="false">
      <c r="A131" s="33" t="n">
        <v>45736</v>
      </c>
      <c r="B131" s="12" t="str">
        <f aca="false">TEXT(A131,"yyyy-mm")</f>
        <v>2025-03</v>
      </c>
      <c r="C131" s="12" t="s">
        <v>469</v>
      </c>
      <c r="D131" s="12" t="s">
        <v>807</v>
      </c>
      <c r="E131" s="12" t="s">
        <v>808</v>
      </c>
      <c r="F131" s="12" t="s">
        <v>809</v>
      </c>
      <c r="G131" s="12" t="s">
        <v>810</v>
      </c>
      <c r="H131" s="12" t="s">
        <v>351</v>
      </c>
      <c r="I131" s="12" t="str">
        <f aca="false">IF(G131="","",IF(COUNTIF(Registro!$G$5:$G$804,G131)&gt;0,"SI","NO"))</f>
        <v>NO</v>
      </c>
    </row>
    <row r="132" customFormat="false" ht="15" hidden="false" customHeight="false" outlineLevel="0" collapsed="false">
      <c r="A132" s="33" t="n">
        <v>45733</v>
      </c>
      <c r="B132" s="12" t="str">
        <f aca="false">TEXT(A132,"yyyy-mm")</f>
        <v>2025-03</v>
      </c>
      <c r="C132" s="12" t="s">
        <v>469</v>
      </c>
      <c r="D132" s="12" t="s">
        <v>811</v>
      </c>
      <c r="E132" s="12" t="s">
        <v>812</v>
      </c>
      <c r="F132" s="12" t="s">
        <v>813</v>
      </c>
      <c r="G132" s="12" t="s">
        <v>814</v>
      </c>
      <c r="H132" s="12" t="s">
        <v>345</v>
      </c>
      <c r="I132" s="12" t="str">
        <f aca="false">IF(G132="","",IF(COUNTIF(Registro!$G$5:$G$804,G132)&gt;0,"SI","NO"))</f>
        <v>NO</v>
      </c>
    </row>
    <row r="133" customFormat="false" ht="15" hidden="false" customHeight="false" outlineLevel="0" collapsed="false">
      <c r="A133" s="33" t="n">
        <v>45733</v>
      </c>
      <c r="B133" s="12" t="str">
        <f aca="false">TEXT(A133,"yyyy-mm")</f>
        <v>2025-03</v>
      </c>
      <c r="C133" s="12" t="s">
        <v>469</v>
      </c>
      <c r="D133" s="12" t="s">
        <v>815</v>
      </c>
      <c r="E133" s="12" t="s">
        <v>816</v>
      </c>
      <c r="F133" s="12" t="s">
        <v>817</v>
      </c>
      <c r="G133" s="12" t="s">
        <v>818</v>
      </c>
      <c r="H133" s="12" t="s">
        <v>345</v>
      </c>
      <c r="I133" s="12" t="str">
        <f aca="false">IF(G133="","",IF(COUNTIF(Registro!$G$5:$G$804,G133)&gt;0,"SI","NO"))</f>
        <v>NO</v>
      </c>
    </row>
    <row r="134" customFormat="false" ht="15" hidden="false" customHeight="false" outlineLevel="0" collapsed="false">
      <c r="A134" s="33" t="n">
        <v>45729</v>
      </c>
      <c r="B134" s="12" t="str">
        <f aca="false">TEXT(A134,"yyyy-mm")</f>
        <v>2025-03</v>
      </c>
      <c r="C134" s="12" t="s">
        <v>469</v>
      </c>
      <c r="D134" s="12" t="s">
        <v>466</v>
      </c>
      <c r="E134" s="12" t="s">
        <v>484</v>
      </c>
      <c r="F134" s="12" t="s">
        <v>819</v>
      </c>
      <c r="G134" s="12" t="s">
        <v>820</v>
      </c>
      <c r="H134" s="12" t="s">
        <v>345</v>
      </c>
      <c r="I134" s="12" t="str">
        <f aca="false">IF(G134="","",IF(COUNTIF(Registro!$G$5:$G$804,G134)&gt;0,"SI","NO"))</f>
        <v>NO</v>
      </c>
    </row>
    <row r="135" customFormat="false" ht="15" hidden="false" customHeight="false" outlineLevel="0" collapsed="false">
      <c r="A135" s="33" t="n">
        <v>45729</v>
      </c>
      <c r="B135" s="12" t="str">
        <f aca="false">TEXT(A135,"yyyy-mm")</f>
        <v>2025-03</v>
      </c>
      <c r="C135" s="12" t="s">
        <v>469</v>
      </c>
      <c r="D135" s="12" t="s">
        <v>821</v>
      </c>
      <c r="E135" s="12" t="s">
        <v>822</v>
      </c>
      <c r="F135" s="12" t="s">
        <v>823</v>
      </c>
      <c r="G135" s="12" t="s">
        <v>824</v>
      </c>
      <c r="H135" s="12" t="s">
        <v>345</v>
      </c>
      <c r="I135" s="12" t="str">
        <f aca="false">IF(G135="","",IF(COUNTIF(Registro!$G$5:$G$804,G135)&gt;0,"SI","NO"))</f>
        <v>NO</v>
      </c>
    </row>
    <row r="136" customFormat="false" ht="15" hidden="false" customHeight="false" outlineLevel="0" collapsed="false">
      <c r="A136" s="33" t="n">
        <v>45729</v>
      </c>
      <c r="B136" s="12" t="str">
        <f aca="false">TEXT(A136,"yyyy-mm")</f>
        <v>2025-03</v>
      </c>
      <c r="C136" s="12" t="s">
        <v>469</v>
      </c>
      <c r="D136" s="12" t="s">
        <v>825</v>
      </c>
      <c r="E136" s="12" t="s">
        <v>826</v>
      </c>
      <c r="F136" s="12" t="s">
        <v>417</v>
      </c>
      <c r="G136" s="12" t="s">
        <v>827</v>
      </c>
      <c r="H136" s="12" t="s">
        <v>345</v>
      </c>
      <c r="I136" s="12" t="str">
        <f aca="false">IF(G136="","",IF(COUNTIF(Registro!$G$5:$G$804,G136)&gt;0,"SI","NO"))</f>
        <v>NO</v>
      </c>
    </row>
    <row r="137" customFormat="false" ht="15" hidden="false" customHeight="false" outlineLevel="0" collapsed="false">
      <c r="A137" s="33" t="n">
        <v>45727</v>
      </c>
      <c r="B137" s="12" t="str">
        <f aca="false">TEXT(A137,"yyyy-mm")</f>
        <v>2025-03</v>
      </c>
      <c r="C137" s="12" t="s">
        <v>469</v>
      </c>
      <c r="D137" s="12" t="s">
        <v>398</v>
      </c>
      <c r="E137" s="12" t="s">
        <v>828</v>
      </c>
      <c r="F137" s="12" t="s">
        <v>829</v>
      </c>
      <c r="G137" s="12" t="s">
        <v>830</v>
      </c>
      <c r="H137" s="12" t="s">
        <v>351</v>
      </c>
      <c r="I137" s="12" t="str">
        <f aca="false">IF(G137="","",IF(COUNTIF(Registro!$G$5:$G$804,G137)&gt;0,"SI","NO"))</f>
        <v>NO</v>
      </c>
    </row>
    <row r="138" customFormat="false" ht="15" hidden="false" customHeight="false" outlineLevel="0" collapsed="false">
      <c r="A138" s="33" t="n">
        <v>45727</v>
      </c>
      <c r="B138" s="12" t="str">
        <f aca="false">TEXT(A138,"yyyy-mm")</f>
        <v>2025-03</v>
      </c>
      <c r="C138" s="12" t="s">
        <v>469</v>
      </c>
      <c r="D138" s="12" t="s">
        <v>831</v>
      </c>
      <c r="E138" s="12" t="s">
        <v>832</v>
      </c>
      <c r="F138" s="12" t="s">
        <v>489</v>
      </c>
      <c r="G138" s="12" t="s">
        <v>833</v>
      </c>
      <c r="H138" s="12" t="s">
        <v>345</v>
      </c>
      <c r="I138" s="12" t="str">
        <f aca="false">IF(G138="","",IF(COUNTIF(Registro!$G$5:$G$804,G138)&gt;0,"SI","NO"))</f>
        <v>NO</v>
      </c>
    </row>
    <row r="139" customFormat="false" ht="15" hidden="false" customHeight="false" outlineLevel="0" collapsed="false">
      <c r="A139" s="33" t="n">
        <v>45724</v>
      </c>
      <c r="B139" s="12" t="str">
        <f aca="false">TEXT(A139,"yyyy-mm")</f>
        <v>2025-03</v>
      </c>
      <c r="C139" s="12" t="s">
        <v>469</v>
      </c>
      <c r="D139" s="12" t="s">
        <v>834</v>
      </c>
      <c r="E139" s="12" t="s">
        <v>835</v>
      </c>
      <c r="F139" s="12" t="s">
        <v>836</v>
      </c>
      <c r="G139" s="12" t="s">
        <v>837</v>
      </c>
      <c r="H139" s="12" t="s">
        <v>345</v>
      </c>
      <c r="I139" s="12" t="str">
        <f aca="false">IF(G139="","",IF(COUNTIF(Registro!$G$5:$G$804,G139)&gt;0,"SI","NO"))</f>
        <v>NO</v>
      </c>
    </row>
    <row r="140" customFormat="false" ht="15" hidden="false" customHeight="false" outlineLevel="0" collapsed="false">
      <c r="A140" s="33" t="n">
        <v>45721</v>
      </c>
      <c r="B140" s="12" t="str">
        <f aca="false">TEXT(A140,"yyyy-mm")</f>
        <v>2025-03</v>
      </c>
      <c r="C140" s="12" t="s">
        <v>469</v>
      </c>
      <c r="D140" s="12" t="s">
        <v>398</v>
      </c>
      <c r="E140" s="12" t="s">
        <v>838</v>
      </c>
      <c r="F140" s="12" t="s">
        <v>839</v>
      </c>
      <c r="G140" s="12" t="s">
        <v>840</v>
      </c>
      <c r="H140" s="12" t="s">
        <v>345</v>
      </c>
      <c r="I140" s="12" t="str">
        <f aca="false">IF(G140="","",IF(COUNTIF(Registro!$G$5:$G$804,G140)&gt;0,"SI","NO"))</f>
        <v>NO</v>
      </c>
    </row>
    <row r="141" customFormat="false" ht="15" hidden="false" customHeight="false" outlineLevel="0" collapsed="false">
      <c r="A141" s="33" t="n">
        <v>45716</v>
      </c>
      <c r="B141" s="12" t="str">
        <f aca="false">TEXT(A141,"yyyy-mm")</f>
        <v>2025-02</v>
      </c>
      <c r="C141" s="12" t="s">
        <v>469</v>
      </c>
      <c r="D141" s="12" t="s">
        <v>528</v>
      </c>
      <c r="E141" s="12" t="s">
        <v>841</v>
      </c>
      <c r="F141" s="12" t="s">
        <v>343</v>
      </c>
      <c r="G141" s="12" t="s">
        <v>842</v>
      </c>
      <c r="H141" s="12" t="s">
        <v>345</v>
      </c>
      <c r="I141" s="12" t="str">
        <f aca="false">IF(G141="","",IF(COUNTIF(Registro!$G$5:$G$804,G141)&gt;0,"SI","NO"))</f>
        <v>NO</v>
      </c>
    </row>
    <row r="142" customFormat="false" ht="15" hidden="false" customHeight="false" outlineLevel="0" collapsed="false">
      <c r="A142" s="33" t="n">
        <v>45716</v>
      </c>
      <c r="B142" s="12" t="str">
        <f aca="false">TEXT(A142,"yyyy-mm")</f>
        <v>2025-02</v>
      </c>
      <c r="C142" s="12" t="s">
        <v>469</v>
      </c>
      <c r="D142" s="12" t="s">
        <v>575</v>
      </c>
      <c r="E142" s="12" t="s">
        <v>843</v>
      </c>
      <c r="F142" s="12" t="s">
        <v>689</v>
      </c>
      <c r="G142" s="12" t="s">
        <v>844</v>
      </c>
      <c r="H142" s="12" t="s">
        <v>345</v>
      </c>
      <c r="I142" s="12" t="str">
        <f aca="false">IF(G142="","",IF(COUNTIF(Registro!$G$5:$G$804,G142)&gt;0,"SI","NO"))</f>
        <v>NO</v>
      </c>
    </row>
    <row r="143" customFormat="false" ht="15" hidden="false" customHeight="false" outlineLevel="0" collapsed="false">
      <c r="A143" s="33" t="n">
        <v>45713</v>
      </c>
      <c r="B143" s="12" t="str">
        <f aca="false">TEXT(A143,"yyyy-mm")</f>
        <v>2025-02</v>
      </c>
      <c r="C143" s="12" t="s">
        <v>469</v>
      </c>
      <c r="D143" s="12" t="s">
        <v>845</v>
      </c>
      <c r="E143" s="12" t="s">
        <v>846</v>
      </c>
      <c r="F143" s="12" t="s">
        <v>847</v>
      </c>
      <c r="G143" s="12" t="s">
        <v>848</v>
      </c>
      <c r="H143" s="12" t="s">
        <v>351</v>
      </c>
      <c r="I143" s="12" t="str">
        <f aca="false">IF(G143="","",IF(COUNTIF(Registro!$G$5:$G$804,G143)&gt;0,"SI","NO"))</f>
        <v>NO</v>
      </c>
    </row>
    <row r="144" customFormat="false" ht="15" hidden="false" customHeight="false" outlineLevel="0" collapsed="false">
      <c r="A144" s="33" t="n">
        <v>45695</v>
      </c>
      <c r="B144" s="12" t="str">
        <f aca="false">TEXT(A144,"yyyy-mm")</f>
        <v>2025-02</v>
      </c>
      <c r="C144" s="12" t="s">
        <v>469</v>
      </c>
      <c r="D144" s="12" t="s">
        <v>849</v>
      </c>
      <c r="E144" s="12" t="s">
        <v>850</v>
      </c>
      <c r="F144" s="12" t="s">
        <v>453</v>
      </c>
      <c r="G144" s="12" t="s">
        <v>851</v>
      </c>
      <c r="H144" s="12" t="s">
        <v>345</v>
      </c>
      <c r="I144" s="12" t="str">
        <f aca="false">IF(G144="","",IF(COUNTIF(Registro!$G$5:$G$804,G144)&gt;0,"SI","NO"))</f>
        <v>NO</v>
      </c>
    </row>
    <row r="145" customFormat="false" ht="15" hidden="false" customHeight="false" outlineLevel="0" collapsed="false">
      <c r="A145" s="33" t="n">
        <v>45688</v>
      </c>
      <c r="B145" s="12" t="str">
        <f aca="false">TEXT(A145,"yyyy-mm")</f>
        <v>2025-01</v>
      </c>
      <c r="C145" s="12" t="s">
        <v>469</v>
      </c>
      <c r="D145" s="12" t="s">
        <v>657</v>
      </c>
      <c r="E145" s="12" t="s">
        <v>852</v>
      </c>
      <c r="F145" s="12" t="s">
        <v>853</v>
      </c>
      <c r="G145" s="12" t="s">
        <v>854</v>
      </c>
      <c r="H145" s="12" t="s">
        <v>345</v>
      </c>
      <c r="I145" s="12" t="str">
        <f aca="false">IF(G145="","",IF(COUNTIF(Registro!$G$5:$G$804,G145)&gt;0,"SI","NO"))</f>
        <v>NO</v>
      </c>
    </row>
    <row r="146" customFormat="false" ht="15" hidden="false" customHeight="false" outlineLevel="0" collapsed="false">
      <c r="A146" s="33" t="n">
        <v>45688</v>
      </c>
      <c r="B146" s="12" t="str">
        <f aca="false">TEXT(A146,"yyyy-mm")</f>
        <v>2025-01</v>
      </c>
      <c r="C146" s="12" t="s">
        <v>469</v>
      </c>
      <c r="D146" s="12" t="s">
        <v>235</v>
      </c>
      <c r="E146" s="12" t="s">
        <v>855</v>
      </c>
      <c r="F146" s="12" t="s">
        <v>856</v>
      </c>
      <c r="G146" s="12" t="s">
        <v>857</v>
      </c>
      <c r="H146" s="12" t="s">
        <v>351</v>
      </c>
      <c r="I146" s="12" t="str">
        <f aca="false">IF(G146="","",IF(COUNTIF(Registro!$G$5:$G$804,G146)&gt;0,"SI","NO"))</f>
        <v>NO</v>
      </c>
    </row>
    <row r="147" customFormat="false" ht="15" hidden="false" customHeight="false" outlineLevel="0" collapsed="false">
      <c r="A147" s="33" t="n">
        <v>45687</v>
      </c>
      <c r="B147" s="12" t="str">
        <f aca="false">TEXT(A147,"yyyy-mm")</f>
        <v>2025-01</v>
      </c>
      <c r="C147" s="12" t="s">
        <v>469</v>
      </c>
      <c r="D147" s="12" t="s">
        <v>858</v>
      </c>
      <c r="E147" s="12" t="s">
        <v>859</v>
      </c>
      <c r="F147" s="12" t="s">
        <v>634</v>
      </c>
      <c r="G147" s="12" t="s">
        <v>860</v>
      </c>
      <c r="H147" s="12" t="s">
        <v>345</v>
      </c>
      <c r="I147" s="12" t="str">
        <f aca="false">IF(G147="","",IF(COUNTIF(Registro!$G$5:$G$804,G147)&gt;0,"SI","NO"))</f>
        <v>NO</v>
      </c>
    </row>
    <row r="148" customFormat="false" ht="15" hidden="false" customHeight="false" outlineLevel="0" collapsed="false">
      <c r="A148" s="33" t="n">
        <v>45684</v>
      </c>
      <c r="B148" s="12" t="str">
        <f aca="false">TEXT(A148,"yyyy-mm")</f>
        <v>2025-01</v>
      </c>
      <c r="C148" s="12" t="s">
        <v>469</v>
      </c>
      <c r="D148" s="12" t="s">
        <v>861</v>
      </c>
      <c r="E148" s="12" t="s">
        <v>862</v>
      </c>
      <c r="F148" s="12" t="s">
        <v>863</v>
      </c>
      <c r="G148" s="12" t="s">
        <v>864</v>
      </c>
      <c r="H148" s="12" t="s">
        <v>345</v>
      </c>
      <c r="I148" s="12" t="str">
        <f aca="false">IF(G148="","",IF(COUNTIF(Registro!$G$5:$G$804,G148)&gt;0,"SI","NO"))</f>
        <v>NO</v>
      </c>
    </row>
    <row r="149" customFormat="false" ht="15" hidden="false" customHeight="false" outlineLevel="0" collapsed="false">
      <c r="A149" s="33" t="n">
        <v>45684</v>
      </c>
      <c r="B149" s="12" t="str">
        <f aca="false">TEXT(A149,"yyyy-mm")</f>
        <v>2025-01</v>
      </c>
      <c r="C149" s="12" t="s">
        <v>469</v>
      </c>
      <c r="D149" s="12" t="s">
        <v>865</v>
      </c>
      <c r="E149" s="12" t="s">
        <v>866</v>
      </c>
      <c r="F149" s="12" t="s">
        <v>867</v>
      </c>
      <c r="G149" s="12" t="s">
        <v>868</v>
      </c>
      <c r="H149" s="12" t="s">
        <v>345</v>
      </c>
      <c r="I149" s="12" t="str">
        <f aca="false">IF(G149="","",IF(COUNTIF(Registro!$G$5:$G$804,G149)&gt;0,"SI","NO"))</f>
        <v>NO</v>
      </c>
    </row>
    <row r="150" customFormat="false" ht="15" hidden="false" customHeight="false" outlineLevel="0" collapsed="false">
      <c r="A150" s="33" t="n">
        <v>45682</v>
      </c>
      <c r="B150" s="12" t="str">
        <f aca="false">TEXT(A150,"yyyy-mm")</f>
        <v>2025-01</v>
      </c>
      <c r="C150" s="12" t="s">
        <v>469</v>
      </c>
      <c r="D150" s="12" t="s">
        <v>869</v>
      </c>
      <c r="E150" s="12" t="s">
        <v>870</v>
      </c>
      <c r="F150" s="12" t="s">
        <v>871</v>
      </c>
      <c r="G150" s="12" t="s">
        <v>872</v>
      </c>
      <c r="H150" s="12" t="s">
        <v>351</v>
      </c>
      <c r="I150" s="12" t="str">
        <f aca="false">IF(G150="","",IF(COUNTIF(Registro!$G$5:$G$804,G150)&gt;0,"SI","NO"))</f>
        <v>NO</v>
      </c>
    </row>
    <row r="151" customFormat="false" ht="15" hidden="false" customHeight="false" outlineLevel="0" collapsed="false">
      <c r="A151" s="33" t="n">
        <v>45681</v>
      </c>
      <c r="B151" s="12" t="str">
        <f aca="false">TEXT(A151,"yyyy-mm")</f>
        <v>2025-01</v>
      </c>
      <c r="C151" s="12" t="s">
        <v>469</v>
      </c>
      <c r="D151" s="12" t="s">
        <v>653</v>
      </c>
      <c r="E151" s="12" t="s">
        <v>873</v>
      </c>
      <c r="F151" s="12" t="s">
        <v>874</v>
      </c>
      <c r="G151" s="12" t="s">
        <v>875</v>
      </c>
      <c r="H151" s="12" t="s">
        <v>351</v>
      </c>
      <c r="I151" s="12" t="str">
        <f aca="false">IF(G151="","",IF(COUNTIF(Registro!$G$5:$G$804,G151)&gt;0,"SI","NO"))</f>
        <v>NO</v>
      </c>
    </row>
    <row r="152" customFormat="false" ht="15" hidden="false" customHeight="false" outlineLevel="0" collapsed="false">
      <c r="A152" s="33" t="n">
        <v>45679</v>
      </c>
      <c r="B152" s="12" t="str">
        <f aca="false">TEXT(A152,"yyyy-mm")</f>
        <v>2025-01</v>
      </c>
      <c r="C152" s="12" t="s">
        <v>469</v>
      </c>
      <c r="D152" s="12" t="s">
        <v>876</v>
      </c>
      <c r="E152" s="12" t="s">
        <v>877</v>
      </c>
      <c r="F152" s="12" t="s">
        <v>878</v>
      </c>
      <c r="G152" s="12" t="s">
        <v>879</v>
      </c>
      <c r="H152" s="12" t="s">
        <v>345</v>
      </c>
      <c r="I152" s="12" t="str">
        <f aca="false">IF(G152="","",IF(COUNTIF(Registro!$G$5:$G$804,G152)&gt;0,"SI","NO"))</f>
        <v>NO</v>
      </c>
    </row>
    <row r="153" customFormat="false" ht="15" hidden="false" customHeight="false" outlineLevel="0" collapsed="false">
      <c r="A153" s="33" t="n">
        <v>45676</v>
      </c>
      <c r="B153" s="12" t="str">
        <f aca="false">TEXT(A153,"yyyy-mm")</f>
        <v>2025-01</v>
      </c>
      <c r="C153" s="12" t="s">
        <v>469</v>
      </c>
      <c r="D153" s="12" t="s">
        <v>880</v>
      </c>
      <c r="E153" s="12" t="s">
        <v>881</v>
      </c>
      <c r="F153" s="12" t="s">
        <v>689</v>
      </c>
      <c r="G153" s="12" t="s">
        <v>882</v>
      </c>
      <c r="H153" s="12" t="s">
        <v>351</v>
      </c>
      <c r="I153" s="12" t="str">
        <f aca="false">IF(G153="","",IF(COUNTIF(Registro!$G$5:$G$804,G153)&gt;0,"SI","NO"))</f>
        <v>NO</v>
      </c>
    </row>
    <row r="154" customFormat="false" ht="15" hidden="false" customHeight="false" outlineLevel="0" collapsed="false">
      <c r="A154" s="33" t="n">
        <v>45663</v>
      </c>
      <c r="B154" s="12" t="str">
        <f aca="false">TEXT(A154,"yyyy-mm")</f>
        <v>2025-01</v>
      </c>
      <c r="C154" s="12" t="s">
        <v>469</v>
      </c>
      <c r="D154" s="12" t="s">
        <v>385</v>
      </c>
      <c r="E154" s="12" t="s">
        <v>883</v>
      </c>
      <c r="F154" s="12" t="s">
        <v>884</v>
      </c>
      <c r="G154" s="12" t="s">
        <v>885</v>
      </c>
      <c r="H154" s="12" t="s">
        <v>351</v>
      </c>
      <c r="I154" s="12" t="str">
        <f aca="false">IF(G154="","",IF(COUNTIF(Registro!$G$5:$G$804,G154)&gt;0,"SI","NO"))</f>
        <v>NO</v>
      </c>
    </row>
    <row r="155" customFormat="false" ht="15" hidden="false" customHeight="false" outlineLevel="0" collapsed="false">
      <c r="A155" s="33" t="n">
        <v>45660</v>
      </c>
      <c r="B155" s="12" t="str">
        <f aca="false">TEXT(A155,"yyyy-mm")</f>
        <v>2025-01</v>
      </c>
      <c r="C155" s="12" t="s">
        <v>469</v>
      </c>
      <c r="D155" s="12" t="s">
        <v>886</v>
      </c>
      <c r="E155" s="12" t="s">
        <v>678</v>
      </c>
      <c r="F155" s="12" t="s">
        <v>887</v>
      </c>
      <c r="G155" s="12" t="s">
        <v>888</v>
      </c>
      <c r="H155" s="12" t="s">
        <v>345</v>
      </c>
      <c r="I155" s="12" t="str">
        <f aca="false">IF(G155="","",IF(COUNTIF(Registro!$G$5:$G$804,G155)&gt;0,"SI","NO"))</f>
        <v>NO</v>
      </c>
    </row>
    <row r="156" customFormat="false" ht="15" hidden="false" customHeight="false" outlineLevel="0" collapsed="false">
      <c r="A156" s="33" t="n">
        <v>45656</v>
      </c>
      <c r="B156" s="12" t="str">
        <f aca="false">TEXT(A156,"yyyy-mm")</f>
        <v>2024-12</v>
      </c>
      <c r="C156" s="12" t="s">
        <v>469</v>
      </c>
      <c r="D156" s="12" t="s">
        <v>528</v>
      </c>
      <c r="E156" s="12" t="s">
        <v>889</v>
      </c>
      <c r="F156" s="12" t="s">
        <v>777</v>
      </c>
      <c r="G156" s="12" t="s">
        <v>890</v>
      </c>
      <c r="H156" s="12" t="s">
        <v>345</v>
      </c>
      <c r="I156" s="12" t="str">
        <f aca="false">IF(G156="","",IF(COUNTIF(Registro!$G$5:$G$804,G156)&gt;0,"SI","NO"))</f>
        <v>NO</v>
      </c>
    </row>
    <row r="157" customFormat="false" ht="15" hidden="false" customHeight="false" outlineLevel="0" collapsed="false">
      <c r="A157" s="33" t="n">
        <v>45649</v>
      </c>
      <c r="B157" s="12" t="str">
        <f aca="false">TEXT(A157,"yyyy-mm")</f>
        <v>2024-12</v>
      </c>
      <c r="C157" s="12" t="s">
        <v>469</v>
      </c>
      <c r="D157" s="12" t="s">
        <v>891</v>
      </c>
      <c r="E157" s="12" t="s">
        <v>892</v>
      </c>
      <c r="F157" s="12" t="s">
        <v>893</v>
      </c>
      <c r="G157" s="12" t="s">
        <v>894</v>
      </c>
      <c r="H157" s="12" t="s">
        <v>351</v>
      </c>
      <c r="I157" s="12" t="str">
        <f aca="false">IF(G157="","",IF(COUNTIF(Registro!$G$5:$G$804,G157)&gt;0,"SI","NO"))</f>
        <v>NO</v>
      </c>
    </row>
    <row r="158" customFormat="false" ht="15" hidden="false" customHeight="false" outlineLevel="0" collapsed="false">
      <c r="A158" s="33" t="n">
        <v>45629</v>
      </c>
      <c r="B158" s="12" t="str">
        <f aca="false">TEXT(A158,"yyyy-mm")</f>
        <v>2024-12</v>
      </c>
      <c r="C158" s="12" t="s">
        <v>469</v>
      </c>
      <c r="D158" s="12" t="s">
        <v>895</v>
      </c>
      <c r="E158" s="12" t="s">
        <v>896</v>
      </c>
      <c r="F158" s="12" t="s">
        <v>456</v>
      </c>
      <c r="G158" s="12" t="s">
        <v>897</v>
      </c>
      <c r="H158" s="12" t="s">
        <v>345</v>
      </c>
      <c r="I158" s="12" t="str">
        <f aca="false">IF(G158="","",IF(COUNTIF(Registro!$G$5:$G$804,G158)&gt;0,"SI","NO"))</f>
        <v>NO</v>
      </c>
    </row>
    <row r="159" customFormat="false" ht="15" hidden="false" customHeight="false" outlineLevel="0" collapsed="false">
      <c r="A159" s="33" t="n">
        <v>45629</v>
      </c>
      <c r="B159" s="12" t="str">
        <f aca="false">TEXT(A159,"yyyy-mm")</f>
        <v>2024-12</v>
      </c>
      <c r="C159" s="12" t="s">
        <v>469</v>
      </c>
      <c r="D159" s="12" t="s">
        <v>660</v>
      </c>
      <c r="E159" s="12" t="s">
        <v>522</v>
      </c>
      <c r="F159" s="12" t="s">
        <v>387</v>
      </c>
      <c r="G159" s="12" t="s">
        <v>898</v>
      </c>
      <c r="H159" s="12" t="s">
        <v>345</v>
      </c>
      <c r="I159" s="12" t="str">
        <f aca="false">IF(G159="","",IF(COUNTIF(Registro!$G$5:$G$804,G159)&gt;0,"SI","NO"))</f>
        <v>NO</v>
      </c>
    </row>
    <row r="160" customFormat="false" ht="15" hidden="false" customHeight="false" outlineLevel="0" collapsed="false">
      <c r="A160" s="33" t="n">
        <v>45628</v>
      </c>
      <c r="B160" s="12" t="str">
        <f aca="false">TEXT(A160,"yyyy-mm")</f>
        <v>2024-12</v>
      </c>
      <c r="C160" s="12" t="s">
        <v>469</v>
      </c>
      <c r="D160" s="12" t="s">
        <v>899</v>
      </c>
      <c r="E160" s="12" t="s">
        <v>900</v>
      </c>
      <c r="F160" s="12" t="s">
        <v>823</v>
      </c>
      <c r="G160" s="12" t="s">
        <v>901</v>
      </c>
      <c r="H160" s="12" t="s">
        <v>345</v>
      </c>
      <c r="I160" s="12" t="str">
        <f aca="false">IF(G160="","",IF(COUNTIF(Registro!$G$5:$G$804,G160)&gt;0,"SI","NO"))</f>
        <v>NO</v>
      </c>
    </row>
    <row r="161" customFormat="false" ht="15" hidden="false" customHeight="false" outlineLevel="0" collapsed="false">
      <c r="A161" s="33" t="n">
        <v>45624</v>
      </c>
      <c r="B161" s="12" t="str">
        <f aca="false">TEXT(A161,"yyyy-mm")</f>
        <v>2024-11</v>
      </c>
      <c r="C161" s="12" t="s">
        <v>469</v>
      </c>
      <c r="D161" s="12" t="s">
        <v>510</v>
      </c>
      <c r="E161" s="12" t="s">
        <v>796</v>
      </c>
      <c r="F161" s="12" t="s">
        <v>602</v>
      </c>
      <c r="G161" s="12" t="s">
        <v>902</v>
      </c>
      <c r="H161" s="12" t="s">
        <v>351</v>
      </c>
      <c r="I161" s="12" t="str">
        <f aca="false">IF(G161="","",IF(COUNTIF(Registro!$G$5:$G$804,G161)&gt;0,"SI","NO"))</f>
        <v>NO</v>
      </c>
    </row>
    <row r="162" customFormat="false" ht="15" hidden="false" customHeight="false" outlineLevel="0" collapsed="false">
      <c r="A162" s="33" t="n">
        <v>45620</v>
      </c>
      <c r="B162" s="12" t="str">
        <f aca="false">TEXT(A162,"yyyy-mm")</f>
        <v>2024-11</v>
      </c>
      <c r="C162" s="12" t="s">
        <v>469</v>
      </c>
      <c r="D162" s="12" t="s">
        <v>903</v>
      </c>
      <c r="E162" s="12" t="s">
        <v>904</v>
      </c>
      <c r="F162" s="12" t="s">
        <v>577</v>
      </c>
      <c r="G162" s="12" t="s">
        <v>905</v>
      </c>
      <c r="H162" s="12" t="s">
        <v>345</v>
      </c>
      <c r="I162" s="12" t="str">
        <f aca="false">IF(G162="","",IF(COUNTIF(Registro!$G$5:$G$804,G162)&gt;0,"SI","NO"))</f>
        <v>NO</v>
      </c>
    </row>
    <row r="163" customFormat="false" ht="15" hidden="false" customHeight="false" outlineLevel="0" collapsed="false">
      <c r="A163" s="33" t="n">
        <v>45616</v>
      </c>
      <c r="B163" s="12" t="str">
        <f aca="false">TEXT(A163,"yyyy-mm")</f>
        <v>2024-11</v>
      </c>
      <c r="C163" s="12" t="s">
        <v>469</v>
      </c>
      <c r="D163" s="12" t="s">
        <v>678</v>
      </c>
      <c r="E163" s="12" t="s">
        <v>906</v>
      </c>
      <c r="F163" s="12" t="s">
        <v>907</v>
      </c>
      <c r="G163" s="12" t="s">
        <v>908</v>
      </c>
      <c r="H163" s="12" t="s">
        <v>345</v>
      </c>
      <c r="I163" s="12" t="str">
        <f aca="false">IF(G163="","",IF(COUNTIF(Registro!$G$5:$G$804,G163)&gt;0,"SI","NO"))</f>
        <v>NO</v>
      </c>
    </row>
    <row r="164" customFormat="false" ht="15" hidden="false" customHeight="false" outlineLevel="0" collapsed="false">
      <c r="A164" s="33" t="n">
        <v>45616</v>
      </c>
      <c r="B164" s="12" t="str">
        <f aca="false">TEXT(A164,"yyyy-mm")</f>
        <v>2024-11</v>
      </c>
      <c r="C164" s="12" t="s">
        <v>469</v>
      </c>
      <c r="D164" s="12" t="s">
        <v>466</v>
      </c>
      <c r="E164" s="12" t="s">
        <v>909</v>
      </c>
      <c r="F164" s="12" t="s">
        <v>556</v>
      </c>
      <c r="G164" s="12" t="s">
        <v>910</v>
      </c>
      <c r="H164" s="12" t="s">
        <v>345</v>
      </c>
      <c r="I164" s="12" t="str">
        <f aca="false">IF(G164="","",IF(COUNTIF(Registro!$G$5:$G$804,G164)&gt;0,"SI","NO"))</f>
        <v>NO</v>
      </c>
    </row>
    <row r="165" customFormat="false" ht="15" hidden="false" customHeight="false" outlineLevel="0" collapsed="false">
      <c r="A165" s="33" t="n">
        <v>45612</v>
      </c>
      <c r="B165" s="12" t="str">
        <f aca="false">TEXT(A165,"yyyy-mm")</f>
        <v>2024-11</v>
      </c>
      <c r="C165" s="12" t="s">
        <v>469</v>
      </c>
      <c r="D165" s="12" t="s">
        <v>480</v>
      </c>
      <c r="E165" s="12" t="s">
        <v>911</v>
      </c>
      <c r="F165" s="12" t="s">
        <v>703</v>
      </c>
      <c r="G165" s="12" t="s">
        <v>912</v>
      </c>
      <c r="H165" s="12" t="s">
        <v>351</v>
      </c>
      <c r="I165" s="12" t="str">
        <f aca="false">IF(G165="","",IF(COUNTIF(Registro!$G$5:$G$804,G165)&gt;0,"SI","NO"))</f>
        <v>NO</v>
      </c>
    </row>
    <row r="166" customFormat="false" ht="15" hidden="false" customHeight="false" outlineLevel="0" collapsed="false">
      <c r="A166" s="33" t="n">
        <v>45609</v>
      </c>
      <c r="B166" s="12" t="str">
        <f aca="false">TEXT(A166,"yyyy-mm")</f>
        <v>2024-11</v>
      </c>
      <c r="C166" s="12" t="s">
        <v>469</v>
      </c>
      <c r="D166" s="12" t="s">
        <v>447</v>
      </c>
      <c r="E166" s="12" t="s">
        <v>913</v>
      </c>
      <c r="F166" s="12" t="s">
        <v>680</v>
      </c>
      <c r="G166" s="12" t="s">
        <v>914</v>
      </c>
      <c r="H166" s="12" t="s">
        <v>345</v>
      </c>
      <c r="I166" s="12" t="str">
        <f aca="false">IF(G166="","",IF(COUNTIF(Registro!$G$5:$G$804,G166)&gt;0,"SI","NO"))</f>
        <v>NO</v>
      </c>
    </row>
    <row r="167" customFormat="false" ht="15" hidden="false" customHeight="false" outlineLevel="0" collapsed="false">
      <c r="A167" s="33" t="n">
        <v>45530</v>
      </c>
      <c r="B167" s="12" t="str">
        <f aca="false">TEXT(A167,"yyyy-mm")</f>
        <v>2024-08</v>
      </c>
      <c r="C167" s="12" t="s">
        <v>915</v>
      </c>
      <c r="D167" s="12" t="s">
        <v>916</v>
      </c>
      <c r="E167" s="12" t="s">
        <v>917</v>
      </c>
      <c r="F167" s="12" t="s">
        <v>918</v>
      </c>
      <c r="G167" s="12" t="s">
        <v>919</v>
      </c>
      <c r="H167" s="12" t="s">
        <v>351</v>
      </c>
      <c r="I167" s="12" t="str">
        <f aca="false">IF(G167="","",IF(COUNTIF(Registro!$G$5:$G$804,G167)&gt;0,"SI","NO"))</f>
        <v>NO</v>
      </c>
    </row>
    <row r="168" customFormat="false" ht="15" hidden="false" customHeight="false" outlineLevel="0" collapsed="false">
      <c r="A168" s="33" t="n">
        <v>45528</v>
      </c>
      <c r="B168" s="12" t="str">
        <f aca="false">TEXT(A168,"yyyy-mm")</f>
        <v>2024-08</v>
      </c>
      <c r="C168" s="12" t="s">
        <v>915</v>
      </c>
      <c r="D168" s="12" t="s">
        <v>439</v>
      </c>
      <c r="E168" s="12" t="s">
        <v>920</v>
      </c>
      <c r="F168" s="12" t="s">
        <v>637</v>
      </c>
      <c r="G168" s="12" t="s">
        <v>921</v>
      </c>
      <c r="H168" s="12" t="s">
        <v>345</v>
      </c>
      <c r="I168" s="12" t="str">
        <f aca="false">IF(G168="","",IF(COUNTIF(Registro!$G$5:$G$804,G168)&gt;0,"SI","NO"))</f>
        <v>NO</v>
      </c>
    </row>
    <row r="169" customFormat="false" ht="15" hidden="false" customHeight="false" outlineLevel="0" collapsed="false">
      <c r="A169" s="33" t="n">
        <v>45518</v>
      </c>
      <c r="B169" s="12" t="str">
        <f aca="false">TEXT(A169,"yyyy-mm")</f>
        <v>2024-08</v>
      </c>
      <c r="C169" s="12" t="s">
        <v>915</v>
      </c>
      <c r="D169" s="12" t="s">
        <v>922</v>
      </c>
      <c r="E169" s="12" t="s">
        <v>923</v>
      </c>
      <c r="F169" s="12" t="s">
        <v>449</v>
      </c>
      <c r="G169" s="12" t="s">
        <v>924</v>
      </c>
      <c r="H169" s="12" t="s">
        <v>351</v>
      </c>
      <c r="I169" s="12" t="str">
        <f aca="false">IF(G169="","",IF(COUNTIF(Registro!$G$5:$G$804,G169)&gt;0,"SI","NO"))</f>
        <v>NO</v>
      </c>
    </row>
    <row r="170" customFormat="false" ht="15" hidden="false" customHeight="false" outlineLevel="0" collapsed="false">
      <c r="A170" s="33" t="n">
        <v>45514</v>
      </c>
      <c r="B170" s="12" t="str">
        <f aca="false">TEXT(A170,"yyyy-mm")</f>
        <v>2024-08</v>
      </c>
      <c r="C170" s="12" t="s">
        <v>915</v>
      </c>
      <c r="D170" s="12" t="s">
        <v>925</v>
      </c>
      <c r="E170" s="12" t="s">
        <v>926</v>
      </c>
      <c r="F170" s="12" t="s">
        <v>927</v>
      </c>
      <c r="G170" s="12" t="s">
        <v>928</v>
      </c>
      <c r="H170" s="12" t="s">
        <v>345</v>
      </c>
      <c r="I170" s="12" t="str">
        <f aca="false">IF(G170="","",IF(COUNTIF(Registro!$G$5:$G$804,G170)&gt;0,"SI","NO"))</f>
        <v>NO</v>
      </c>
    </row>
    <row r="171" customFormat="false" ht="15" hidden="false" customHeight="false" outlineLevel="0" collapsed="false">
      <c r="A171" s="33" t="n">
        <v>45513</v>
      </c>
      <c r="B171" s="12" t="str">
        <f aca="false">TEXT(A171,"yyyy-mm")</f>
        <v>2024-08</v>
      </c>
      <c r="C171" s="12" t="s">
        <v>915</v>
      </c>
      <c r="D171" s="12" t="s">
        <v>765</v>
      </c>
      <c r="E171" s="12" t="s">
        <v>766</v>
      </c>
      <c r="F171" s="12" t="s">
        <v>767</v>
      </c>
      <c r="G171" s="12" t="s">
        <v>929</v>
      </c>
      <c r="H171" s="12" t="s">
        <v>345</v>
      </c>
      <c r="I171" s="12" t="str">
        <f aca="false">IF(G171="","",IF(COUNTIF(Registro!$G$5:$G$804,G171)&gt;0,"SI","NO"))</f>
        <v>NO</v>
      </c>
    </row>
    <row r="172" customFormat="false" ht="15" hidden="false" customHeight="false" outlineLevel="0" collapsed="false">
      <c r="A172" s="33" t="n">
        <v>45505</v>
      </c>
      <c r="B172" s="12" t="str">
        <f aca="false">TEXT(A172,"yyyy-mm")</f>
        <v>2024-08</v>
      </c>
      <c r="C172" s="12" t="s">
        <v>915</v>
      </c>
      <c r="D172" s="12" t="s">
        <v>930</v>
      </c>
      <c r="E172" s="12" t="s">
        <v>931</v>
      </c>
      <c r="F172" s="12" t="s">
        <v>449</v>
      </c>
      <c r="G172" s="12" t="s">
        <v>932</v>
      </c>
      <c r="H172" s="12" t="s">
        <v>351</v>
      </c>
      <c r="I172" s="12" t="str">
        <f aca="false">IF(G172="","",IF(COUNTIF(Registro!$G$5:$G$804,G172)&gt;0,"SI","NO"))</f>
        <v>NO</v>
      </c>
    </row>
    <row r="173" customFormat="false" ht="15" hidden="false" customHeight="false" outlineLevel="0" collapsed="false">
      <c r="A173" s="33" t="n">
        <v>45503</v>
      </c>
      <c r="B173" s="12" t="str">
        <f aca="false">TEXT(A173,"yyyy-mm")</f>
        <v>2024-07</v>
      </c>
      <c r="C173" s="12" t="s">
        <v>915</v>
      </c>
      <c r="D173" s="12" t="s">
        <v>933</v>
      </c>
      <c r="E173" s="12" t="s">
        <v>934</v>
      </c>
      <c r="F173" s="12" t="s">
        <v>619</v>
      </c>
      <c r="G173" s="12" t="s">
        <v>935</v>
      </c>
      <c r="H173" s="12" t="s">
        <v>351</v>
      </c>
      <c r="I173" s="12" t="str">
        <f aca="false">IF(G173="","",IF(COUNTIF(Registro!$G$5:$G$804,G173)&gt;0,"SI","NO"))</f>
        <v>NO</v>
      </c>
    </row>
    <row r="174" customFormat="false" ht="15" hidden="false" customHeight="false" outlineLevel="0" collapsed="false">
      <c r="A174" s="33" t="n">
        <v>45501</v>
      </c>
      <c r="B174" s="12" t="str">
        <f aca="false">TEXT(A174,"yyyy-mm")</f>
        <v>2024-07</v>
      </c>
      <c r="C174" s="12" t="s">
        <v>915</v>
      </c>
      <c r="D174" s="12" t="s">
        <v>936</v>
      </c>
      <c r="E174" s="12" t="s">
        <v>937</v>
      </c>
      <c r="F174" s="12" t="s">
        <v>409</v>
      </c>
      <c r="G174" s="12" t="s">
        <v>938</v>
      </c>
      <c r="H174" s="12" t="s">
        <v>345</v>
      </c>
      <c r="I174" s="12" t="str">
        <f aca="false">IF(G174="","",IF(COUNTIF(Registro!$G$5:$G$804,G174)&gt;0,"SI","NO"))</f>
        <v>NO</v>
      </c>
    </row>
    <row r="175" customFormat="false" ht="15" hidden="false" customHeight="false" outlineLevel="0" collapsed="false">
      <c r="A175" s="33" t="n">
        <v>45500</v>
      </c>
      <c r="B175" s="12" t="str">
        <f aca="false">TEXT(A175,"yyyy-mm")</f>
        <v>2024-07</v>
      </c>
      <c r="C175" s="12" t="s">
        <v>915</v>
      </c>
      <c r="D175" s="12" t="s">
        <v>939</v>
      </c>
      <c r="E175" s="12" t="s">
        <v>940</v>
      </c>
      <c r="F175" s="12" t="s">
        <v>941</v>
      </c>
      <c r="G175" s="12" t="s">
        <v>942</v>
      </c>
      <c r="H175" s="12" t="s">
        <v>351</v>
      </c>
      <c r="I175" s="12" t="str">
        <f aca="false">IF(G175="","",IF(COUNTIF(Registro!$G$5:$G$804,G175)&gt;0,"SI","NO"))</f>
        <v>NO</v>
      </c>
    </row>
    <row r="176" customFormat="false" ht="15" hidden="false" customHeight="false" outlineLevel="0" collapsed="false">
      <c r="A176" s="33" t="n">
        <v>45497</v>
      </c>
      <c r="B176" s="12" t="str">
        <f aca="false">TEXT(A176,"yyyy-mm")</f>
        <v>2024-07</v>
      </c>
      <c r="C176" s="12" t="s">
        <v>915</v>
      </c>
      <c r="D176" s="12" t="s">
        <v>936</v>
      </c>
      <c r="E176" s="12" t="s">
        <v>943</v>
      </c>
      <c r="F176" s="12" t="s">
        <v>944</v>
      </c>
      <c r="G176" s="12" t="s">
        <v>945</v>
      </c>
      <c r="H176" s="12" t="s">
        <v>345</v>
      </c>
      <c r="I176" s="12" t="str">
        <f aca="false">IF(G176="","",IF(COUNTIF(Registro!$G$5:$G$804,G176)&gt;0,"SI","NO"))</f>
        <v>NO</v>
      </c>
    </row>
    <row r="177" customFormat="false" ht="15" hidden="false" customHeight="false" outlineLevel="0" collapsed="false">
      <c r="A177" s="33" t="n">
        <v>45491</v>
      </c>
      <c r="B177" s="12" t="str">
        <f aca="false">TEXT(A177,"yyyy-mm")</f>
        <v>2024-07</v>
      </c>
      <c r="C177" s="12" t="s">
        <v>915</v>
      </c>
      <c r="D177" s="12" t="s">
        <v>653</v>
      </c>
      <c r="E177" s="12" t="s">
        <v>653</v>
      </c>
      <c r="F177" s="12" t="s">
        <v>946</v>
      </c>
      <c r="G177" s="12" t="s">
        <v>947</v>
      </c>
      <c r="H177" s="12" t="s">
        <v>351</v>
      </c>
      <c r="I177" s="12" t="str">
        <f aca="false">IF(G177="","",IF(COUNTIF(Registro!$G$5:$G$804,G177)&gt;0,"SI","NO"))</f>
        <v>NO</v>
      </c>
    </row>
    <row r="178" customFormat="false" ht="15" hidden="false" customHeight="false" outlineLevel="0" collapsed="false">
      <c r="A178" s="33" t="n">
        <v>45490</v>
      </c>
      <c r="B178" s="12" t="str">
        <f aca="false">TEXT(A178,"yyyy-mm")</f>
        <v>2024-07</v>
      </c>
      <c r="C178" s="12" t="s">
        <v>915</v>
      </c>
      <c r="D178" s="12" t="s">
        <v>948</v>
      </c>
      <c r="E178" s="12" t="s">
        <v>949</v>
      </c>
      <c r="F178" s="12" t="s">
        <v>950</v>
      </c>
      <c r="G178" s="12" t="s">
        <v>951</v>
      </c>
      <c r="H178" s="12" t="s">
        <v>351</v>
      </c>
      <c r="I178" s="12" t="str">
        <f aca="false">IF(G178="","",IF(COUNTIF(Registro!$G$5:$G$804,G178)&gt;0,"SI","NO"))</f>
        <v>NO</v>
      </c>
    </row>
    <row r="179" customFormat="false" ht="15" hidden="false" customHeight="false" outlineLevel="0" collapsed="false">
      <c r="A179" s="33" t="n">
        <v>45489</v>
      </c>
      <c r="B179" s="12" t="str">
        <f aca="false">TEXT(A179,"yyyy-mm")</f>
        <v>2024-07</v>
      </c>
      <c r="C179" s="12" t="s">
        <v>915</v>
      </c>
      <c r="D179" s="12" t="s">
        <v>385</v>
      </c>
      <c r="E179" s="12" t="s">
        <v>952</v>
      </c>
      <c r="F179" s="12" t="s">
        <v>953</v>
      </c>
      <c r="G179" s="12" t="s">
        <v>954</v>
      </c>
      <c r="H179" s="12" t="s">
        <v>345</v>
      </c>
      <c r="I179" s="12" t="str">
        <f aca="false">IF(G179="","",IF(COUNTIF(Registro!$G$5:$G$804,G179)&gt;0,"SI","NO"))</f>
        <v>NO</v>
      </c>
    </row>
    <row r="180" customFormat="false" ht="15" hidden="false" customHeight="false" outlineLevel="0" collapsed="false">
      <c r="A180" s="33" t="n">
        <v>45489</v>
      </c>
      <c r="B180" s="12" t="str">
        <f aca="false">TEXT(A180,"yyyy-mm")</f>
        <v>2024-07</v>
      </c>
      <c r="C180" s="12" t="s">
        <v>915</v>
      </c>
      <c r="D180" s="12" t="s">
        <v>955</v>
      </c>
      <c r="E180" s="12" t="s">
        <v>956</v>
      </c>
      <c r="F180" s="12" t="s">
        <v>655</v>
      </c>
      <c r="G180" s="12" t="s">
        <v>957</v>
      </c>
      <c r="H180" s="12" t="s">
        <v>351</v>
      </c>
      <c r="I180" s="12" t="str">
        <f aca="false">IF(G180="","",IF(COUNTIF(Registro!$G$5:$G$804,G180)&gt;0,"SI","NO"))</f>
        <v>NO</v>
      </c>
    </row>
    <row r="181" customFormat="false" ht="15" hidden="false" customHeight="false" outlineLevel="0" collapsed="false">
      <c r="A181" s="33" t="n">
        <v>45488</v>
      </c>
      <c r="B181" s="12" t="str">
        <f aca="false">TEXT(A181,"yyyy-mm")</f>
        <v>2024-07</v>
      </c>
      <c r="C181" s="12" t="s">
        <v>915</v>
      </c>
      <c r="D181" s="12" t="s">
        <v>958</v>
      </c>
      <c r="E181" s="12" t="s">
        <v>959</v>
      </c>
      <c r="F181" s="12" t="s">
        <v>960</v>
      </c>
      <c r="G181" s="12" t="s">
        <v>961</v>
      </c>
      <c r="H181" s="12" t="s">
        <v>345</v>
      </c>
      <c r="I181" s="12" t="str">
        <f aca="false">IF(G181="","",IF(COUNTIF(Registro!$G$5:$G$804,G181)&gt;0,"SI","NO"))</f>
        <v>NO</v>
      </c>
    </row>
    <row r="182" customFormat="false" ht="15" hidden="false" customHeight="false" outlineLevel="0" collapsed="false">
      <c r="A182" s="33" t="n">
        <v>45484</v>
      </c>
      <c r="B182" s="12" t="str">
        <f aca="false">TEXT(A182,"yyyy-mm")</f>
        <v>2024-07</v>
      </c>
      <c r="C182" s="12" t="s">
        <v>915</v>
      </c>
      <c r="D182" s="12" t="s">
        <v>347</v>
      </c>
      <c r="E182" s="12" t="s">
        <v>962</v>
      </c>
      <c r="F182" s="12" t="s">
        <v>963</v>
      </c>
      <c r="G182" s="12" t="s">
        <v>964</v>
      </c>
      <c r="H182" s="12" t="s">
        <v>345</v>
      </c>
      <c r="I182" s="12" t="str">
        <f aca="false">IF(G182="","",IF(COUNTIF(Registro!$G$5:$G$804,G182)&gt;0,"SI","NO"))</f>
        <v>NO</v>
      </c>
    </row>
    <row r="183" customFormat="false" ht="15" hidden="false" customHeight="false" outlineLevel="0" collapsed="false">
      <c r="A183" s="33" t="n">
        <v>45482</v>
      </c>
      <c r="B183" s="12" t="str">
        <f aca="false">TEXT(A183,"yyyy-mm")</f>
        <v>2024-07</v>
      </c>
      <c r="C183" s="12" t="s">
        <v>915</v>
      </c>
      <c r="D183" s="12" t="s">
        <v>965</v>
      </c>
      <c r="E183" s="12" t="s">
        <v>966</v>
      </c>
      <c r="F183" s="12" t="s">
        <v>492</v>
      </c>
      <c r="G183" s="12" t="s">
        <v>967</v>
      </c>
      <c r="H183" s="12" t="s">
        <v>345</v>
      </c>
      <c r="I183" s="12" t="str">
        <f aca="false">IF(G183="","",IF(COUNTIF(Registro!$G$5:$G$804,G183)&gt;0,"SI","NO"))</f>
        <v>NO</v>
      </c>
    </row>
    <row r="184" customFormat="false" ht="15" hidden="false" customHeight="false" outlineLevel="0" collapsed="false">
      <c r="A184" s="33" t="n">
        <v>45482</v>
      </c>
      <c r="B184" s="12" t="str">
        <f aca="false">TEXT(A184,"yyyy-mm")</f>
        <v>2024-07</v>
      </c>
      <c r="C184" s="12" t="s">
        <v>915</v>
      </c>
      <c r="D184" s="12" t="s">
        <v>691</v>
      </c>
      <c r="E184" s="12" t="s">
        <v>968</v>
      </c>
      <c r="F184" s="12" t="s">
        <v>433</v>
      </c>
      <c r="G184" s="12" t="s">
        <v>969</v>
      </c>
      <c r="H184" s="12" t="s">
        <v>345</v>
      </c>
      <c r="I184" s="12" t="str">
        <f aca="false">IF(G184="","",IF(COUNTIF(Registro!$G$5:$G$804,G184)&gt;0,"SI","NO"))</f>
        <v>NO</v>
      </c>
    </row>
    <row r="185" customFormat="false" ht="15" hidden="false" customHeight="false" outlineLevel="0" collapsed="false">
      <c r="A185" s="33" t="n">
        <v>45476</v>
      </c>
      <c r="B185" s="12" t="str">
        <f aca="false">TEXT(A185,"yyyy-mm")</f>
        <v>2024-07</v>
      </c>
      <c r="C185" s="12" t="s">
        <v>915</v>
      </c>
      <c r="D185" s="12" t="s">
        <v>347</v>
      </c>
      <c r="E185" s="12" t="s">
        <v>970</v>
      </c>
      <c r="F185" s="12" t="s">
        <v>971</v>
      </c>
      <c r="G185" s="12" t="s">
        <v>972</v>
      </c>
      <c r="H185" s="12" t="s">
        <v>351</v>
      </c>
      <c r="I185" s="12" t="str">
        <f aca="false">IF(G185="","",IF(COUNTIF(Registro!$G$5:$G$804,G185)&gt;0,"SI","NO"))</f>
        <v>NO</v>
      </c>
    </row>
    <row r="186" customFormat="false" ht="15" hidden="false" customHeight="false" outlineLevel="0" collapsed="false">
      <c r="A186" s="33" t="n">
        <v>45473</v>
      </c>
      <c r="B186" s="12" t="str">
        <f aca="false">TEXT(A186,"yyyy-mm")</f>
        <v>2024-06</v>
      </c>
      <c r="C186" s="12" t="s">
        <v>915</v>
      </c>
      <c r="D186" s="12" t="s">
        <v>466</v>
      </c>
      <c r="E186" s="12" t="s">
        <v>580</v>
      </c>
      <c r="F186" s="12" t="s">
        <v>963</v>
      </c>
      <c r="G186" s="12" t="s">
        <v>973</v>
      </c>
      <c r="H186" s="12" t="s">
        <v>345</v>
      </c>
      <c r="I186" s="12" t="str">
        <f aca="false">IF(G186="","",IF(COUNTIF(Registro!$G$5:$G$804,G186)&gt;0,"SI","NO"))</f>
        <v>NO</v>
      </c>
    </row>
    <row r="187" customFormat="false" ht="15" hidden="false" customHeight="false" outlineLevel="0" collapsed="false">
      <c r="A187" s="33" t="n">
        <v>45472</v>
      </c>
      <c r="B187" s="12" t="str">
        <f aca="false">TEXT(A187,"yyyy-mm")</f>
        <v>2024-06</v>
      </c>
      <c r="C187" s="12" t="s">
        <v>915</v>
      </c>
      <c r="D187" s="12" t="s">
        <v>974</v>
      </c>
      <c r="E187" s="12" t="s">
        <v>975</v>
      </c>
      <c r="F187" s="12" t="s">
        <v>976</v>
      </c>
      <c r="G187" s="12" t="s">
        <v>977</v>
      </c>
      <c r="H187" s="12" t="s">
        <v>345</v>
      </c>
      <c r="I187" s="12" t="str">
        <f aca="false">IF(G187="","",IF(COUNTIF(Registro!$G$5:$G$804,G187)&gt;0,"SI","NO"))</f>
        <v>NO</v>
      </c>
    </row>
    <row r="188" customFormat="false" ht="15" hidden="false" customHeight="false" outlineLevel="0" collapsed="false">
      <c r="A188" s="33" t="n">
        <v>45471</v>
      </c>
      <c r="B188" s="12" t="str">
        <f aca="false">TEXT(A188,"yyyy-mm")</f>
        <v>2024-06</v>
      </c>
      <c r="C188" s="12" t="s">
        <v>915</v>
      </c>
      <c r="D188" s="12" t="s">
        <v>978</v>
      </c>
      <c r="E188" s="12" t="s">
        <v>975</v>
      </c>
      <c r="F188" s="12" t="s">
        <v>979</v>
      </c>
      <c r="G188" s="12" t="s">
        <v>980</v>
      </c>
      <c r="H188" s="12" t="s">
        <v>351</v>
      </c>
      <c r="I188" s="12" t="str">
        <f aca="false">IF(G188="","",IF(COUNTIF(Registro!$G$5:$G$804,G188)&gt;0,"SI","NO"))</f>
        <v>NO</v>
      </c>
    </row>
    <row r="189" customFormat="false" ht="15" hidden="false" customHeight="false" outlineLevel="0" collapsed="false">
      <c r="A189" s="33" t="n">
        <v>45466</v>
      </c>
      <c r="B189" s="12" t="str">
        <f aca="false">TEXT(A189,"yyyy-mm")</f>
        <v>2024-06</v>
      </c>
      <c r="C189" s="12" t="s">
        <v>915</v>
      </c>
      <c r="D189" s="12" t="s">
        <v>465</v>
      </c>
      <c r="E189" s="12" t="s">
        <v>981</v>
      </c>
      <c r="F189" s="12" t="s">
        <v>467</v>
      </c>
      <c r="G189" s="12" t="s">
        <v>982</v>
      </c>
      <c r="H189" s="12" t="s">
        <v>345</v>
      </c>
      <c r="I189" s="12" t="str">
        <f aca="false">IF(G189="","",IF(COUNTIF(Registro!$G$5:$G$804,G189)&gt;0,"SI","NO"))</f>
        <v>NO</v>
      </c>
    </row>
    <row r="190" customFormat="false" ht="15" hidden="false" customHeight="false" outlineLevel="0" collapsed="false">
      <c r="A190" s="33" t="n">
        <v>45465</v>
      </c>
      <c r="B190" s="12" t="str">
        <f aca="false">TEXT(A190,"yyyy-mm")</f>
        <v>2024-06</v>
      </c>
      <c r="C190" s="12" t="s">
        <v>915</v>
      </c>
      <c r="D190" s="12" t="s">
        <v>385</v>
      </c>
      <c r="E190" s="12" t="s">
        <v>983</v>
      </c>
      <c r="F190" s="12" t="s">
        <v>984</v>
      </c>
      <c r="G190" s="12" t="s">
        <v>985</v>
      </c>
      <c r="H190" s="12" t="s">
        <v>351</v>
      </c>
      <c r="I190" s="12" t="str">
        <f aca="false">IF(G190="","",IF(COUNTIF(Registro!$G$5:$G$804,G190)&gt;0,"SI","NO"))</f>
        <v>NO</v>
      </c>
    </row>
    <row r="191" customFormat="false" ht="15" hidden="false" customHeight="false" outlineLevel="0" collapsed="false">
      <c r="A191" s="33" t="n">
        <v>45458</v>
      </c>
      <c r="B191" s="12" t="str">
        <f aca="false">TEXT(A191,"yyyy-mm")</f>
        <v>2024-06</v>
      </c>
      <c r="C191" s="12" t="s">
        <v>915</v>
      </c>
      <c r="D191" s="12" t="s">
        <v>986</v>
      </c>
      <c r="E191" s="12" t="s">
        <v>987</v>
      </c>
      <c r="F191" s="12" t="s">
        <v>988</v>
      </c>
      <c r="G191" s="12" t="s">
        <v>989</v>
      </c>
      <c r="H191" s="12" t="s">
        <v>345</v>
      </c>
      <c r="I191" s="12" t="str">
        <f aca="false">IF(G191="","",IF(COUNTIF(Registro!$G$5:$G$804,G191)&gt;0,"SI","NO"))</f>
        <v>NO</v>
      </c>
    </row>
    <row r="192" customFormat="false" ht="15" hidden="false" customHeight="false" outlineLevel="0" collapsed="false">
      <c r="A192" s="33" t="n">
        <v>45457</v>
      </c>
      <c r="B192" s="12" t="str">
        <f aca="false">TEXT(A192,"yyyy-mm")</f>
        <v>2024-06</v>
      </c>
      <c r="C192" s="12" t="s">
        <v>915</v>
      </c>
      <c r="D192" s="12" t="s">
        <v>990</v>
      </c>
      <c r="E192" s="12" t="s">
        <v>991</v>
      </c>
      <c r="F192" s="12" t="s">
        <v>445</v>
      </c>
      <c r="G192" s="12" t="s">
        <v>992</v>
      </c>
      <c r="H192" s="12" t="s">
        <v>345</v>
      </c>
      <c r="I192" s="12" t="str">
        <f aca="false">IF(G192="","",IF(COUNTIF(Registro!$G$5:$G$804,G192)&gt;0,"SI","NO"))</f>
        <v>NO</v>
      </c>
    </row>
    <row r="193" customFormat="false" ht="15" hidden="false" customHeight="false" outlineLevel="0" collapsed="false">
      <c r="A193" s="33" t="n">
        <v>45456</v>
      </c>
      <c r="B193" s="12" t="str">
        <f aca="false">TEXT(A193,"yyyy-mm")</f>
        <v>2024-06</v>
      </c>
      <c r="C193" s="12" t="s">
        <v>915</v>
      </c>
      <c r="D193" s="12" t="s">
        <v>993</v>
      </c>
      <c r="E193" s="12" t="s">
        <v>994</v>
      </c>
      <c r="F193" s="12" t="s">
        <v>355</v>
      </c>
      <c r="G193" s="12" t="s">
        <v>995</v>
      </c>
      <c r="H193" s="12" t="s">
        <v>351</v>
      </c>
      <c r="I193" s="12" t="str">
        <f aca="false">IF(G193="","",IF(COUNTIF(Registro!$G$5:$G$804,G193)&gt;0,"SI","NO"))</f>
        <v>NO</v>
      </c>
    </row>
    <row r="194" customFormat="false" ht="15" hidden="false" customHeight="false" outlineLevel="0" collapsed="false">
      <c r="A194" s="33" t="n">
        <v>45455</v>
      </c>
      <c r="B194" s="12" t="str">
        <f aca="false">TEXT(A194,"yyyy-mm")</f>
        <v>2024-06</v>
      </c>
      <c r="C194" s="12" t="s">
        <v>915</v>
      </c>
      <c r="D194" s="12" t="s">
        <v>996</v>
      </c>
      <c r="E194" s="12" t="s">
        <v>997</v>
      </c>
      <c r="F194" s="12" t="s">
        <v>693</v>
      </c>
      <c r="G194" s="12" t="s">
        <v>998</v>
      </c>
      <c r="H194" s="12" t="s">
        <v>345</v>
      </c>
      <c r="I194" s="12" t="str">
        <f aca="false">IF(G194="","",IF(COUNTIF(Registro!$G$5:$G$804,G194)&gt;0,"SI","NO"))</f>
        <v>NO</v>
      </c>
    </row>
    <row r="195" customFormat="false" ht="15" hidden="false" customHeight="false" outlineLevel="0" collapsed="false">
      <c r="A195" s="33" t="n">
        <v>45454</v>
      </c>
      <c r="B195" s="12" t="str">
        <f aca="false">TEXT(A195,"yyyy-mm")</f>
        <v>2024-06</v>
      </c>
      <c r="C195" s="12" t="s">
        <v>915</v>
      </c>
      <c r="D195" s="12" t="s">
        <v>999</v>
      </c>
      <c r="E195" s="12" t="s">
        <v>1000</v>
      </c>
      <c r="F195" s="12" t="s">
        <v>1001</v>
      </c>
      <c r="G195" s="12" t="s">
        <v>1002</v>
      </c>
      <c r="H195" s="12" t="s">
        <v>345</v>
      </c>
      <c r="I195" s="12" t="str">
        <f aca="false">IF(G195="","",IF(COUNTIF(Registro!$G$5:$G$804,G195)&gt;0,"SI","NO"))</f>
        <v>NO</v>
      </c>
    </row>
    <row r="196" customFormat="false" ht="15" hidden="false" customHeight="false" outlineLevel="0" collapsed="false">
      <c r="A196" s="33" t="n">
        <v>45454</v>
      </c>
      <c r="B196" s="12" t="str">
        <f aca="false">TEXT(A196,"yyyy-mm")</f>
        <v>2024-06</v>
      </c>
      <c r="C196" s="12" t="s">
        <v>915</v>
      </c>
      <c r="D196" s="12" t="s">
        <v>1003</v>
      </c>
      <c r="E196" s="12" t="s">
        <v>1004</v>
      </c>
      <c r="F196" s="12" t="s">
        <v>1005</v>
      </c>
      <c r="G196" s="12" t="s">
        <v>1006</v>
      </c>
      <c r="H196" s="12" t="s">
        <v>345</v>
      </c>
      <c r="I196" s="12" t="str">
        <f aca="false">IF(G196="","",IF(COUNTIF(Registro!$G$5:$G$804,G196)&gt;0,"SI","NO"))</f>
        <v>NO</v>
      </c>
    </row>
    <row r="197" customFormat="false" ht="15" hidden="false" customHeight="false" outlineLevel="0" collapsed="false">
      <c r="A197" s="33" t="n">
        <v>45454</v>
      </c>
      <c r="B197" s="12" t="str">
        <f aca="false">TEXT(A197,"yyyy-mm")</f>
        <v>2024-06</v>
      </c>
      <c r="C197" s="12" t="s">
        <v>915</v>
      </c>
      <c r="D197" s="12" t="s">
        <v>470</v>
      </c>
      <c r="E197" s="12" t="s">
        <v>1007</v>
      </c>
      <c r="F197" s="12" t="s">
        <v>1008</v>
      </c>
      <c r="G197" s="12" t="s">
        <v>1009</v>
      </c>
      <c r="H197" s="12" t="s">
        <v>345</v>
      </c>
      <c r="I197" s="12" t="str">
        <f aca="false">IF(G197="","",IF(COUNTIF(Registro!$G$5:$G$804,G197)&gt;0,"SI","NO"))</f>
        <v>NO</v>
      </c>
    </row>
    <row r="198" customFormat="false" ht="15" hidden="false" customHeight="false" outlineLevel="0" collapsed="false">
      <c r="A198" s="33" t="n">
        <v>45454</v>
      </c>
      <c r="B198" s="12" t="str">
        <f aca="false">TEXT(A198,"yyyy-mm")</f>
        <v>2024-06</v>
      </c>
      <c r="C198" s="12" t="s">
        <v>915</v>
      </c>
      <c r="D198" s="12" t="s">
        <v>375</v>
      </c>
      <c r="E198" s="12" t="s">
        <v>1010</v>
      </c>
      <c r="F198" s="12" t="s">
        <v>1011</v>
      </c>
      <c r="G198" s="12" t="s">
        <v>1012</v>
      </c>
      <c r="H198" s="12" t="s">
        <v>345</v>
      </c>
      <c r="I198" s="12" t="str">
        <f aca="false">IF(G198="","",IF(COUNTIF(Registro!$G$5:$G$804,G198)&gt;0,"SI","NO"))</f>
        <v>NO</v>
      </c>
    </row>
    <row r="199" customFormat="false" ht="15" hidden="false" customHeight="false" outlineLevel="0" collapsed="false">
      <c r="A199" s="33" t="n">
        <v>45448</v>
      </c>
      <c r="B199" s="12" t="str">
        <f aca="false">TEXT(A199,"yyyy-mm")</f>
        <v>2024-06</v>
      </c>
      <c r="C199" s="12" t="s">
        <v>915</v>
      </c>
      <c r="D199" s="12" t="s">
        <v>650</v>
      </c>
      <c r="E199" s="12" t="s">
        <v>1013</v>
      </c>
      <c r="F199" s="12" t="s">
        <v>581</v>
      </c>
      <c r="G199" s="12" t="s">
        <v>1014</v>
      </c>
      <c r="H199" s="12" t="s">
        <v>351</v>
      </c>
      <c r="I199" s="12" t="str">
        <f aca="false">IF(G199="","",IF(COUNTIF(Registro!$G$5:$G$804,G199)&gt;0,"SI","NO"))</f>
        <v>NO</v>
      </c>
    </row>
    <row r="200" customFormat="false" ht="15" hidden="false" customHeight="false" outlineLevel="0" collapsed="false">
      <c r="A200" s="33" t="n">
        <v>45441</v>
      </c>
      <c r="B200" s="12" t="str">
        <f aca="false">TEXT(A200,"yyyy-mm")</f>
        <v>2024-05</v>
      </c>
      <c r="C200" s="12" t="s">
        <v>915</v>
      </c>
      <c r="D200" s="12" t="s">
        <v>540</v>
      </c>
      <c r="E200" s="12" t="s">
        <v>1015</v>
      </c>
      <c r="F200" s="12" t="s">
        <v>1011</v>
      </c>
      <c r="G200" s="12" t="s">
        <v>1016</v>
      </c>
      <c r="H200" s="12" t="s">
        <v>345</v>
      </c>
      <c r="I200" s="12" t="str">
        <f aca="false">IF(G200="","",IF(COUNTIF(Registro!$G$5:$G$804,G200)&gt;0,"SI","NO"))</f>
        <v>NO</v>
      </c>
    </row>
    <row r="201" customFormat="false" ht="15" hidden="false" customHeight="false" outlineLevel="0" collapsed="false">
      <c r="A201" s="33" t="n">
        <v>45440</v>
      </c>
      <c r="B201" s="12" t="str">
        <f aca="false">TEXT(A201,"yyyy-mm")</f>
        <v>2024-05</v>
      </c>
      <c r="C201" s="12" t="s">
        <v>915</v>
      </c>
      <c r="D201" s="12" t="s">
        <v>1017</v>
      </c>
      <c r="E201" s="12" t="s">
        <v>1018</v>
      </c>
      <c r="F201" s="12" t="s">
        <v>1019</v>
      </c>
      <c r="G201" s="12" t="s">
        <v>1020</v>
      </c>
      <c r="H201" s="12" t="s">
        <v>345</v>
      </c>
      <c r="I201" s="12" t="str">
        <f aca="false">IF(G201="","",IF(COUNTIF(Registro!$G$5:$G$804,G201)&gt;0,"SI","NO"))</f>
        <v>NO</v>
      </c>
    </row>
    <row r="202" customFormat="false" ht="15" hidden="false" customHeight="false" outlineLevel="0" collapsed="false">
      <c r="A202" s="33" t="n">
        <v>45440</v>
      </c>
      <c r="B202" s="12" t="str">
        <f aca="false">TEXT(A202,"yyyy-mm")</f>
        <v>2024-05</v>
      </c>
      <c r="C202" s="12" t="s">
        <v>915</v>
      </c>
      <c r="D202" s="12" t="s">
        <v>235</v>
      </c>
      <c r="E202" s="12" t="s">
        <v>1021</v>
      </c>
      <c r="F202" s="12" t="s">
        <v>1011</v>
      </c>
      <c r="G202" s="12" t="s">
        <v>1022</v>
      </c>
      <c r="H202" s="12" t="s">
        <v>351</v>
      </c>
      <c r="I202" s="12" t="str">
        <f aca="false">IF(G202="","",IF(COUNTIF(Registro!$G$5:$G$804,G202)&gt;0,"SI","NO"))</f>
        <v>NO</v>
      </c>
    </row>
    <row r="203" customFormat="false" ht="15" hidden="false" customHeight="false" outlineLevel="0" collapsed="false">
      <c r="A203" s="33" t="n">
        <v>45437</v>
      </c>
      <c r="B203" s="12" t="str">
        <f aca="false">TEXT(A203,"yyyy-mm")</f>
        <v>2024-05</v>
      </c>
      <c r="C203" s="12" t="s">
        <v>915</v>
      </c>
      <c r="D203" s="12" t="s">
        <v>670</v>
      </c>
      <c r="E203" s="12" t="s">
        <v>1023</v>
      </c>
      <c r="F203" s="12" t="s">
        <v>1024</v>
      </c>
      <c r="G203" s="12" t="s">
        <v>1025</v>
      </c>
      <c r="H203" s="12" t="s">
        <v>345</v>
      </c>
      <c r="I203" s="12" t="str">
        <f aca="false">IF(G203="","",IF(COUNTIF(Registro!$G$5:$G$804,G203)&gt;0,"SI","NO"))</f>
        <v>NO</v>
      </c>
    </row>
    <row r="204" customFormat="false" ht="15" hidden="false" customHeight="false" outlineLevel="0" collapsed="false">
      <c r="A204" s="33" t="n">
        <v>45428</v>
      </c>
      <c r="B204" s="12" t="str">
        <f aca="false">TEXT(A204,"yyyy-mm")</f>
        <v>2024-05</v>
      </c>
      <c r="C204" s="12" t="s">
        <v>915</v>
      </c>
      <c r="D204" s="12" t="s">
        <v>731</v>
      </c>
      <c r="E204" s="12" t="s">
        <v>1026</v>
      </c>
      <c r="F204" s="12" t="s">
        <v>605</v>
      </c>
      <c r="G204" s="12" t="s">
        <v>1027</v>
      </c>
      <c r="H204" s="12" t="s">
        <v>345</v>
      </c>
      <c r="I204" s="12" t="str">
        <f aca="false">IF(G204="","",IF(COUNTIF(Registro!$G$5:$G$804,G204)&gt;0,"SI","NO"))</f>
        <v>NO</v>
      </c>
    </row>
    <row r="205" customFormat="false" ht="15" hidden="false" customHeight="false" outlineLevel="0" collapsed="false">
      <c r="A205" s="33" t="n">
        <v>45427</v>
      </c>
      <c r="B205" s="12" t="str">
        <f aca="false">TEXT(A205,"yyyy-mm")</f>
        <v>2024-05</v>
      </c>
      <c r="C205" s="12" t="s">
        <v>915</v>
      </c>
      <c r="D205" s="12" t="s">
        <v>1028</v>
      </c>
      <c r="E205" s="12" t="s">
        <v>1029</v>
      </c>
      <c r="F205" s="12" t="s">
        <v>1030</v>
      </c>
      <c r="G205" s="12" t="s">
        <v>1031</v>
      </c>
      <c r="H205" s="12" t="s">
        <v>345</v>
      </c>
      <c r="I205" s="12" t="str">
        <f aca="false">IF(G205="","",IF(COUNTIF(Registro!$G$5:$G$804,G205)&gt;0,"SI","NO"))</f>
        <v>NO</v>
      </c>
    </row>
    <row r="206" customFormat="false" ht="15" hidden="false" customHeight="false" outlineLevel="0" collapsed="false">
      <c r="A206" s="33" t="n">
        <v>45426</v>
      </c>
      <c r="B206" s="12" t="str">
        <f aca="false">TEXT(A206,"yyyy-mm")</f>
        <v>2024-05</v>
      </c>
      <c r="C206" s="12" t="s">
        <v>915</v>
      </c>
      <c r="D206" s="12" t="s">
        <v>1032</v>
      </c>
      <c r="E206" s="12" t="s">
        <v>1033</v>
      </c>
      <c r="F206" s="12" t="s">
        <v>417</v>
      </c>
      <c r="G206" s="12" t="s">
        <v>1034</v>
      </c>
      <c r="H206" s="12" t="s">
        <v>345</v>
      </c>
      <c r="I206" s="12" t="str">
        <f aca="false">IF(G206="","",IF(COUNTIF(Registro!$G$5:$G$804,G206)&gt;0,"SI","NO"))</f>
        <v>NO</v>
      </c>
    </row>
    <row r="207" customFormat="false" ht="15" hidden="false" customHeight="false" outlineLevel="0" collapsed="false">
      <c r="A207" s="33" t="n">
        <v>45417</v>
      </c>
      <c r="B207" s="12" t="str">
        <f aca="false">TEXT(A207,"yyyy-mm")</f>
        <v>2024-05</v>
      </c>
      <c r="C207" s="12" t="s">
        <v>915</v>
      </c>
      <c r="D207" s="12" t="s">
        <v>756</v>
      </c>
      <c r="E207" s="12" t="s">
        <v>1035</v>
      </c>
      <c r="F207" s="12" t="s">
        <v>542</v>
      </c>
      <c r="G207" s="12" t="s">
        <v>1036</v>
      </c>
      <c r="H207" s="12" t="s">
        <v>345</v>
      </c>
      <c r="I207" s="12" t="str">
        <f aca="false">IF(G207="","",IF(COUNTIF(Registro!$G$5:$G$804,G207)&gt;0,"SI","NO"))</f>
        <v>NO</v>
      </c>
    </row>
    <row r="208" customFormat="false" ht="15" hidden="false" customHeight="false" outlineLevel="0" collapsed="false">
      <c r="A208" s="33" t="n">
        <v>45401</v>
      </c>
      <c r="B208" s="12" t="str">
        <f aca="false">TEXT(A208,"yyyy-mm")</f>
        <v>2024-04</v>
      </c>
      <c r="C208" s="12" t="s">
        <v>915</v>
      </c>
      <c r="D208" s="12" t="s">
        <v>1037</v>
      </c>
      <c r="E208" s="12" t="s">
        <v>1038</v>
      </c>
      <c r="F208" s="12" t="s">
        <v>1039</v>
      </c>
      <c r="G208" s="12" t="s">
        <v>1040</v>
      </c>
      <c r="H208" s="12" t="s">
        <v>345</v>
      </c>
      <c r="I208" s="12" t="str">
        <f aca="false">IF(G208="","",IF(COUNTIF(Registro!$G$5:$G$804,G208)&gt;0,"SI","NO"))</f>
        <v>NO</v>
      </c>
    </row>
    <row r="209" customFormat="false" ht="15" hidden="false" customHeight="false" outlineLevel="0" collapsed="false">
      <c r="A209" s="33" t="n">
        <v>45400</v>
      </c>
      <c r="B209" s="12" t="str">
        <f aca="false">TEXT(A209,"yyyy-mm")</f>
        <v>2024-04</v>
      </c>
      <c r="C209" s="12" t="s">
        <v>915</v>
      </c>
      <c r="D209" s="12" t="s">
        <v>1041</v>
      </c>
      <c r="E209" s="12" t="s">
        <v>1042</v>
      </c>
      <c r="F209" s="12" t="s">
        <v>1043</v>
      </c>
      <c r="G209" s="12" t="s">
        <v>1044</v>
      </c>
      <c r="H209" s="12" t="s">
        <v>345</v>
      </c>
      <c r="I209" s="12" t="str">
        <f aca="false">IF(G209="","",IF(COUNTIF(Registro!$G$5:$G$804,G209)&gt;0,"SI","NO"))</f>
        <v>NO</v>
      </c>
    </row>
    <row r="210" customFormat="false" ht="15" hidden="false" customHeight="false" outlineLevel="0" collapsed="false">
      <c r="A210" s="33" t="n">
        <v>45400</v>
      </c>
      <c r="B210" s="12" t="str">
        <f aca="false">TEXT(A210,"yyyy-mm")</f>
        <v>2024-04</v>
      </c>
      <c r="C210" s="12" t="s">
        <v>915</v>
      </c>
      <c r="D210" s="12" t="s">
        <v>1041</v>
      </c>
      <c r="E210" s="12" t="s">
        <v>1042</v>
      </c>
      <c r="F210" s="12" t="s">
        <v>1043</v>
      </c>
      <c r="G210" s="12" t="s">
        <v>1045</v>
      </c>
      <c r="H210" s="12" t="s">
        <v>351</v>
      </c>
      <c r="I210" s="12" t="str">
        <f aca="false">IF(G210="","",IF(COUNTIF(Registro!$G$5:$G$804,G210)&gt;0,"SI","NO"))</f>
        <v>NO</v>
      </c>
    </row>
    <row r="211" customFormat="false" ht="15" hidden="false" customHeight="false" outlineLevel="0" collapsed="false">
      <c r="A211" s="33" t="n">
        <v>45399</v>
      </c>
      <c r="B211" s="12" t="str">
        <f aca="false">TEXT(A211,"yyyy-mm")</f>
        <v>2024-04</v>
      </c>
      <c r="C211" s="12" t="s">
        <v>915</v>
      </c>
      <c r="D211" s="12" t="s">
        <v>1003</v>
      </c>
      <c r="E211" s="12" t="s">
        <v>1046</v>
      </c>
      <c r="F211" s="12" t="s">
        <v>1047</v>
      </c>
      <c r="G211" s="12" t="s">
        <v>1048</v>
      </c>
      <c r="H211" s="12" t="s">
        <v>345</v>
      </c>
      <c r="I211" s="12" t="str">
        <f aca="false">IF(G211="","",IF(COUNTIF(Registro!$G$5:$G$804,G211)&gt;0,"SI","NO"))</f>
        <v>NO</v>
      </c>
    </row>
    <row r="212" customFormat="false" ht="15" hidden="false" customHeight="false" outlineLevel="0" collapsed="false">
      <c r="A212" s="33" t="n">
        <v>45398</v>
      </c>
      <c r="B212" s="12" t="str">
        <f aca="false">TEXT(A212,"yyyy-mm")</f>
        <v>2024-04</v>
      </c>
      <c r="C212" s="12" t="s">
        <v>915</v>
      </c>
      <c r="D212" s="12" t="s">
        <v>575</v>
      </c>
      <c r="E212" s="12" t="s">
        <v>1049</v>
      </c>
      <c r="F212" s="12" t="s">
        <v>1050</v>
      </c>
      <c r="G212" s="12" t="s">
        <v>1051</v>
      </c>
      <c r="H212" s="12" t="s">
        <v>345</v>
      </c>
      <c r="I212" s="12" t="str">
        <f aca="false">IF(G212="","",IF(COUNTIF(Registro!$G$5:$G$804,G212)&gt;0,"SI","NO"))</f>
        <v>NO</v>
      </c>
    </row>
    <row r="213" customFormat="false" ht="15" hidden="false" customHeight="false" outlineLevel="0" collapsed="false">
      <c r="A213" s="33" t="n">
        <v>45397</v>
      </c>
      <c r="B213" s="12" t="str">
        <f aca="false">TEXT(A213,"yyyy-mm")</f>
        <v>2024-04</v>
      </c>
      <c r="C213" s="12" t="s">
        <v>915</v>
      </c>
      <c r="D213" s="12" t="s">
        <v>1052</v>
      </c>
      <c r="E213" s="12" t="s">
        <v>1053</v>
      </c>
      <c r="F213" s="12" t="s">
        <v>839</v>
      </c>
      <c r="G213" s="12" t="s">
        <v>1054</v>
      </c>
      <c r="H213" s="12" t="s">
        <v>351</v>
      </c>
      <c r="I213" s="12" t="str">
        <f aca="false">IF(G213="","",IF(COUNTIF(Registro!$G$5:$G$804,G213)&gt;0,"SI","NO"))</f>
        <v>NO</v>
      </c>
    </row>
    <row r="214" customFormat="false" ht="15" hidden="false" customHeight="false" outlineLevel="0" collapsed="false">
      <c r="A214" s="33" t="n">
        <v>45397</v>
      </c>
      <c r="B214" s="12" t="str">
        <f aca="false">TEXT(A214,"yyyy-mm")</f>
        <v>2024-04</v>
      </c>
      <c r="C214" s="12" t="s">
        <v>915</v>
      </c>
      <c r="D214" s="12" t="s">
        <v>821</v>
      </c>
      <c r="E214" s="12" t="s">
        <v>742</v>
      </c>
      <c r="F214" s="12" t="s">
        <v>871</v>
      </c>
      <c r="G214" s="12" t="s">
        <v>1055</v>
      </c>
      <c r="H214" s="12" t="s">
        <v>345</v>
      </c>
      <c r="I214" s="12" t="str">
        <f aca="false">IF(G214="","",IF(COUNTIF(Registro!$G$5:$G$804,G214)&gt;0,"SI","NO"))</f>
        <v>NO</v>
      </c>
    </row>
    <row r="215" customFormat="false" ht="15" hidden="false" customHeight="false" outlineLevel="0" collapsed="false">
      <c r="A215" s="33" t="n">
        <v>45394</v>
      </c>
      <c r="B215" s="12" t="str">
        <f aca="false">TEXT(A215,"yyyy-mm")</f>
        <v>2024-04</v>
      </c>
      <c r="C215" s="12" t="s">
        <v>915</v>
      </c>
      <c r="D215" s="12" t="s">
        <v>1056</v>
      </c>
      <c r="E215" s="12" t="s">
        <v>1057</v>
      </c>
      <c r="F215" s="12" t="s">
        <v>988</v>
      </c>
      <c r="G215" s="12" t="s">
        <v>1058</v>
      </c>
      <c r="H215" s="12" t="s">
        <v>351</v>
      </c>
      <c r="I215" s="12" t="str">
        <f aca="false">IF(G215="","",IF(COUNTIF(Registro!$G$5:$G$804,G215)&gt;0,"SI","NO"))</f>
        <v>NO</v>
      </c>
    </row>
    <row r="216" customFormat="false" ht="15" hidden="false" customHeight="false" outlineLevel="0" collapsed="false">
      <c r="A216" s="33" t="n">
        <v>45392</v>
      </c>
      <c r="B216" s="12" t="str">
        <f aca="false">TEXT(A216,"yyyy-mm")</f>
        <v>2024-04</v>
      </c>
      <c r="C216" s="12" t="s">
        <v>915</v>
      </c>
      <c r="D216" s="12" t="s">
        <v>593</v>
      </c>
      <c r="E216" s="12" t="s">
        <v>1059</v>
      </c>
      <c r="F216" s="12" t="s">
        <v>382</v>
      </c>
      <c r="G216" s="12" t="s">
        <v>1060</v>
      </c>
      <c r="H216" s="12" t="s">
        <v>345</v>
      </c>
      <c r="I216" s="12" t="str">
        <f aca="false">IF(G216="","",IF(COUNTIF(Registro!$G$5:$G$804,G216)&gt;0,"SI","NO"))</f>
        <v>NO</v>
      </c>
    </row>
    <row r="217" customFormat="false" ht="15" hidden="false" customHeight="false" outlineLevel="0" collapsed="false">
      <c r="A217" s="33" t="n">
        <v>45387</v>
      </c>
      <c r="B217" s="12" t="str">
        <f aca="false">TEXT(A217,"yyyy-mm")</f>
        <v>2024-04</v>
      </c>
      <c r="C217" s="12" t="s">
        <v>915</v>
      </c>
      <c r="D217" s="12" t="s">
        <v>347</v>
      </c>
      <c r="E217" s="12" t="s">
        <v>1061</v>
      </c>
      <c r="F217" s="12" t="s">
        <v>395</v>
      </c>
      <c r="G217" s="12" t="s">
        <v>1062</v>
      </c>
      <c r="H217" s="12" t="s">
        <v>351</v>
      </c>
      <c r="I217" s="12" t="str">
        <f aca="false">IF(G217="","",IF(COUNTIF(Registro!$G$5:$G$804,G217)&gt;0,"SI","NO"))</f>
        <v>NO</v>
      </c>
    </row>
    <row r="218" customFormat="false" ht="15" hidden="false" customHeight="false" outlineLevel="0" collapsed="false">
      <c r="A218" s="33" t="n">
        <v>45386</v>
      </c>
      <c r="B218" s="12" t="str">
        <f aca="false">TEXT(A218,"yyyy-mm")</f>
        <v>2024-04</v>
      </c>
      <c r="C218" s="12" t="s">
        <v>915</v>
      </c>
      <c r="D218" s="12" t="s">
        <v>1063</v>
      </c>
      <c r="E218" s="12" t="s">
        <v>1064</v>
      </c>
      <c r="F218" s="12" t="s">
        <v>441</v>
      </c>
      <c r="G218" s="12" t="s">
        <v>1065</v>
      </c>
      <c r="H218" s="12" t="s">
        <v>345</v>
      </c>
      <c r="I218" s="12" t="str">
        <f aca="false">IF(G218="","",IF(COUNTIF(Registro!$G$5:$G$804,G218)&gt;0,"SI","NO"))</f>
        <v>NO</v>
      </c>
    </row>
    <row r="219" customFormat="false" ht="15" hidden="false" customHeight="false" outlineLevel="0" collapsed="false">
      <c r="A219" s="33" t="n">
        <v>45383</v>
      </c>
      <c r="B219" s="12" t="str">
        <f aca="false">TEXT(A219,"yyyy-mm")</f>
        <v>2024-04</v>
      </c>
      <c r="C219" s="12" t="s">
        <v>915</v>
      </c>
      <c r="D219" s="12" t="s">
        <v>510</v>
      </c>
      <c r="E219" s="12" t="s">
        <v>1066</v>
      </c>
      <c r="F219" s="12" t="s">
        <v>552</v>
      </c>
      <c r="G219" s="12" t="s">
        <v>1067</v>
      </c>
      <c r="H219" s="12" t="s">
        <v>351</v>
      </c>
      <c r="I219" s="12" t="str">
        <f aca="false">IF(G219="","",IF(COUNTIF(Registro!$G$5:$G$804,G219)&gt;0,"SI","NO"))</f>
        <v>NO</v>
      </c>
    </row>
    <row r="220" customFormat="false" ht="15" hidden="false" customHeight="false" outlineLevel="0" collapsed="false">
      <c r="A220" s="33" t="n">
        <v>45381</v>
      </c>
      <c r="B220" s="12" t="str">
        <f aca="false">TEXT(A220,"yyyy-mm")</f>
        <v>2024-03</v>
      </c>
      <c r="C220" s="12" t="s">
        <v>915</v>
      </c>
      <c r="D220" s="12" t="s">
        <v>1068</v>
      </c>
      <c r="E220" s="12" t="s">
        <v>1069</v>
      </c>
      <c r="F220" s="12" t="s">
        <v>605</v>
      </c>
      <c r="G220" s="12" t="s">
        <v>1070</v>
      </c>
      <c r="H220" s="12" t="s">
        <v>345</v>
      </c>
      <c r="I220" s="12" t="str">
        <f aca="false">IF(G220="","",IF(COUNTIF(Registro!$G$5:$G$804,G220)&gt;0,"SI","NO"))</f>
        <v>NO</v>
      </c>
    </row>
    <row r="221" customFormat="false" ht="15" hidden="false" customHeight="false" outlineLevel="0" collapsed="false">
      <c r="A221" s="33" t="n">
        <v>45379</v>
      </c>
      <c r="B221" s="12" t="str">
        <f aca="false">TEXT(A221,"yyyy-mm")</f>
        <v>2024-03</v>
      </c>
      <c r="C221" s="12" t="s">
        <v>915</v>
      </c>
      <c r="D221" s="12" t="s">
        <v>353</v>
      </c>
      <c r="E221" s="12" t="s">
        <v>1071</v>
      </c>
      <c r="F221" s="12" t="s">
        <v>637</v>
      </c>
      <c r="G221" s="12" t="s">
        <v>1072</v>
      </c>
      <c r="H221" s="12" t="s">
        <v>345</v>
      </c>
      <c r="I221" s="12" t="str">
        <f aca="false">IF(G221="","",IF(COUNTIF(Registro!$G$5:$G$804,G221)&gt;0,"SI","NO"))</f>
        <v>NO</v>
      </c>
    </row>
    <row r="222" customFormat="false" ht="15" hidden="false" customHeight="false" outlineLevel="0" collapsed="false">
      <c r="A222" s="33" t="n">
        <v>45371</v>
      </c>
      <c r="B222" s="12" t="str">
        <f aca="false">TEXT(A222,"yyyy-mm")</f>
        <v>2024-03</v>
      </c>
      <c r="C222" s="12" t="s">
        <v>915</v>
      </c>
      <c r="D222" s="12" t="s">
        <v>1073</v>
      </c>
      <c r="E222" s="12" t="s">
        <v>1074</v>
      </c>
      <c r="F222" s="12" t="s">
        <v>774</v>
      </c>
      <c r="G222" s="12" t="s">
        <v>1075</v>
      </c>
      <c r="H222" s="12" t="s">
        <v>345</v>
      </c>
      <c r="I222" s="12" t="str">
        <f aca="false">IF(G222="","",IF(COUNTIF(Registro!$G$5:$G$804,G222)&gt;0,"SI","NO"))</f>
        <v>NO</v>
      </c>
    </row>
    <row r="223" customFormat="false" ht="15" hidden="false" customHeight="false" outlineLevel="0" collapsed="false">
      <c r="A223" s="33" t="n">
        <v>45369</v>
      </c>
      <c r="B223" s="12" t="str">
        <f aca="false">TEXT(A223,"yyyy-mm")</f>
        <v>2024-03</v>
      </c>
      <c r="C223" s="12" t="s">
        <v>915</v>
      </c>
      <c r="D223" s="12" t="s">
        <v>1076</v>
      </c>
      <c r="E223" s="12" t="s">
        <v>1077</v>
      </c>
      <c r="F223" s="12" t="s">
        <v>1078</v>
      </c>
      <c r="G223" s="12" t="s">
        <v>1079</v>
      </c>
      <c r="H223" s="12" t="s">
        <v>345</v>
      </c>
      <c r="I223" s="12" t="str">
        <f aca="false">IF(G223="","",IF(COUNTIF(Registro!$G$5:$G$804,G223)&gt;0,"SI","NO"))</f>
        <v>NO</v>
      </c>
    </row>
    <row r="224" customFormat="false" ht="15" hidden="false" customHeight="false" outlineLevel="0" collapsed="false">
      <c r="A224" s="33" t="n">
        <v>45362</v>
      </c>
      <c r="B224" s="12" t="str">
        <f aca="false">TEXT(A224,"yyyy-mm")</f>
        <v>2024-03</v>
      </c>
      <c r="C224" s="12" t="s">
        <v>915</v>
      </c>
      <c r="D224" s="12" t="s">
        <v>1080</v>
      </c>
      <c r="E224" s="12" t="s">
        <v>1081</v>
      </c>
      <c r="F224" s="12" t="s">
        <v>963</v>
      </c>
      <c r="G224" s="12" t="s">
        <v>1082</v>
      </c>
      <c r="H224" s="12" t="s">
        <v>345</v>
      </c>
      <c r="I224" s="12" t="str">
        <f aca="false">IF(G224="","",IF(COUNTIF(Registro!$G$5:$G$804,G224)&gt;0,"SI","NO"))</f>
        <v>NO</v>
      </c>
    </row>
    <row r="225" customFormat="false" ht="15" hidden="false" customHeight="false" outlineLevel="0" collapsed="false">
      <c r="A225" s="33" t="n">
        <v>45359</v>
      </c>
      <c r="B225" s="12" t="str">
        <f aca="false">TEXT(A225,"yyyy-mm")</f>
        <v>2024-03</v>
      </c>
      <c r="C225" s="12" t="s">
        <v>915</v>
      </c>
      <c r="D225" s="12" t="s">
        <v>458</v>
      </c>
      <c r="E225" s="12" t="s">
        <v>1083</v>
      </c>
      <c r="F225" s="12" t="s">
        <v>1084</v>
      </c>
      <c r="G225" s="12" t="s">
        <v>1085</v>
      </c>
      <c r="H225" s="12" t="s">
        <v>345</v>
      </c>
      <c r="I225" s="12" t="str">
        <f aca="false">IF(G225="","",IF(COUNTIF(Registro!$G$5:$G$804,G225)&gt;0,"SI","NO"))</f>
        <v>NO</v>
      </c>
    </row>
    <row r="226" customFormat="false" ht="15" hidden="false" customHeight="false" outlineLevel="0" collapsed="false">
      <c r="A226" s="33" t="n">
        <v>45356</v>
      </c>
      <c r="B226" s="12" t="str">
        <f aca="false">TEXT(A226,"yyyy-mm")</f>
        <v>2024-03</v>
      </c>
      <c r="C226" s="12" t="s">
        <v>915</v>
      </c>
      <c r="D226" s="12" t="s">
        <v>617</v>
      </c>
      <c r="E226" s="12" t="s">
        <v>1086</v>
      </c>
      <c r="F226" s="12" t="s">
        <v>1087</v>
      </c>
      <c r="G226" s="12" t="s">
        <v>1088</v>
      </c>
      <c r="H226" s="12" t="s">
        <v>351</v>
      </c>
      <c r="I226" s="12" t="str">
        <f aca="false">IF(G226="","",IF(COUNTIF(Registro!$G$5:$G$804,G226)&gt;0,"SI","NO"))</f>
        <v>NO</v>
      </c>
    </row>
    <row r="227" customFormat="false" ht="15" hidden="false" customHeight="false" outlineLevel="0" collapsed="false">
      <c r="A227" s="33" t="n">
        <v>45350</v>
      </c>
      <c r="B227" s="12" t="str">
        <f aca="false">TEXT(A227,"yyyy-mm")</f>
        <v>2024-02</v>
      </c>
      <c r="C227" s="12" t="s">
        <v>915</v>
      </c>
      <c r="D227" s="12" t="s">
        <v>540</v>
      </c>
      <c r="E227" s="12" t="s">
        <v>1089</v>
      </c>
      <c r="F227" s="12" t="s">
        <v>1090</v>
      </c>
      <c r="G227" s="12" t="s">
        <v>1091</v>
      </c>
      <c r="H227" s="12" t="s">
        <v>351</v>
      </c>
      <c r="I227" s="12" t="str">
        <f aca="false">IF(G227="","",IF(COUNTIF(Registro!$G$5:$G$804,G227)&gt;0,"SI","NO"))</f>
        <v>NO</v>
      </c>
    </row>
    <row r="228" customFormat="false" ht="15" hidden="false" customHeight="false" outlineLevel="0" collapsed="false">
      <c r="A228" s="33" t="n">
        <v>45341</v>
      </c>
      <c r="B228" s="12" t="str">
        <f aca="false">TEXT(A228,"yyyy-mm")</f>
        <v>2024-02</v>
      </c>
      <c r="C228" s="12" t="s">
        <v>915</v>
      </c>
      <c r="D228" s="12" t="s">
        <v>653</v>
      </c>
      <c r="E228" s="12" t="s">
        <v>1092</v>
      </c>
      <c r="F228" s="12" t="s">
        <v>1093</v>
      </c>
      <c r="G228" s="12" t="s">
        <v>1094</v>
      </c>
      <c r="H228" s="12" t="s">
        <v>345</v>
      </c>
      <c r="I228" s="12" t="str">
        <f aca="false">IF(G228="","",IF(COUNTIF(Registro!$G$5:$G$804,G228)&gt;0,"SI","NO"))</f>
        <v>NO</v>
      </c>
    </row>
    <row r="229" customFormat="false" ht="15" hidden="false" customHeight="false" outlineLevel="0" collapsed="false">
      <c r="A229" s="33" t="n">
        <v>45335</v>
      </c>
      <c r="B229" s="12" t="str">
        <f aca="false">TEXT(A229,"yyyy-mm")</f>
        <v>2024-02</v>
      </c>
      <c r="C229" s="12" t="s">
        <v>915</v>
      </c>
      <c r="D229" s="12" t="s">
        <v>347</v>
      </c>
      <c r="E229" s="12" t="s">
        <v>1095</v>
      </c>
      <c r="F229" s="12" t="s">
        <v>526</v>
      </c>
      <c r="G229" s="12" t="s">
        <v>1096</v>
      </c>
      <c r="H229" s="12" t="s">
        <v>351</v>
      </c>
      <c r="I229" s="12" t="str">
        <f aca="false">IF(G229="","",IF(COUNTIF(Registro!$G$5:$G$804,G229)&gt;0,"SI","NO"))</f>
        <v>NO</v>
      </c>
    </row>
    <row r="230" customFormat="false" ht="15" hidden="false" customHeight="false" outlineLevel="0" collapsed="false">
      <c r="A230" s="33" t="n">
        <v>45327</v>
      </c>
      <c r="B230" s="12" t="str">
        <f aca="false">TEXT(A230,"yyyy-mm")</f>
        <v>2024-02</v>
      </c>
      <c r="C230" s="12" t="s">
        <v>915</v>
      </c>
      <c r="D230" s="12" t="s">
        <v>691</v>
      </c>
      <c r="E230" s="12" t="s">
        <v>1097</v>
      </c>
      <c r="F230" s="12" t="s">
        <v>1098</v>
      </c>
      <c r="G230" s="12" t="s">
        <v>1099</v>
      </c>
      <c r="H230" s="12" t="s">
        <v>345</v>
      </c>
      <c r="I230" s="12" t="str">
        <f aca="false">IF(G230="","",IF(COUNTIF(Registro!$G$5:$G$804,G230)&gt;0,"SI","NO"))</f>
        <v>NO</v>
      </c>
    </row>
    <row r="231" customFormat="false" ht="15" hidden="false" customHeight="false" outlineLevel="0" collapsed="false">
      <c r="A231" s="33" t="n">
        <v>45319</v>
      </c>
      <c r="B231" s="12" t="str">
        <f aca="false">TEXT(A231,"yyyy-mm")</f>
        <v>2024-01</v>
      </c>
      <c r="C231" s="12" t="s">
        <v>915</v>
      </c>
      <c r="D231" s="12" t="s">
        <v>447</v>
      </c>
      <c r="E231" s="12" t="s">
        <v>1100</v>
      </c>
      <c r="F231" s="12" t="s">
        <v>829</v>
      </c>
      <c r="G231" s="12" t="s">
        <v>1101</v>
      </c>
      <c r="H231" s="12" t="s">
        <v>345</v>
      </c>
      <c r="I231" s="12" t="str">
        <f aca="false">IF(G231="","",IF(COUNTIF(Registro!$G$5:$G$804,G231)&gt;0,"SI","NO"))</f>
        <v>NO</v>
      </c>
    </row>
    <row r="232" customFormat="false" ht="15" hidden="false" customHeight="false" outlineLevel="0" collapsed="false">
      <c r="A232" s="33" t="n">
        <v>45303</v>
      </c>
      <c r="B232" s="12" t="str">
        <f aca="false">TEXT(A232,"yyyy-mm")</f>
        <v>2024-01</v>
      </c>
      <c r="C232" s="12" t="s">
        <v>915</v>
      </c>
      <c r="D232" s="12" t="s">
        <v>1102</v>
      </c>
      <c r="E232" s="12" t="s">
        <v>1103</v>
      </c>
      <c r="F232" s="12" t="s">
        <v>581</v>
      </c>
      <c r="G232" s="12" t="s">
        <v>1104</v>
      </c>
      <c r="H232" s="12" t="s">
        <v>345</v>
      </c>
      <c r="I232" s="12" t="str">
        <f aca="false">IF(G232="","",IF(COUNTIF(Registro!$G$5:$G$804,G232)&gt;0,"SI","NO"))</f>
        <v>NO</v>
      </c>
    </row>
    <row r="233" customFormat="false" ht="15" hidden="false" customHeight="false" outlineLevel="0" collapsed="false">
      <c r="A233" s="33" t="n">
        <v>45292</v>
      </c>
      <c r="B233" s="12" t="str">
        <f aca="false">TEXT(A233,"yyyy-mm")</f>
        <v>2024-01</v>
      </c>
      <c r="C233" s="12" t="s">
        <v>915</v>
      </c>
      <c r="D233" s="12" t="s">
        <v>1105</v>
      </c>
      <c r="E233" s="12" t="s">
        <v>1106</v>
      </c>
      <c r="F233" s="12" t="s">
        <v>413</v>
      </c>
      <c r="G233" s="12" t="s">
        <v>1107</v>
      </c>
      <c r="H233" s="12" t="s">
        <v>351</v>
      </c>
      <c r="I233" s="12" t="str">
        <f aca="false">IF(G233="","",IF(COUNTIF(Registro!$G$5:$G$804,G233)&gt;0,"SI","NO"))</f>
        <v>NO</v>
      </c>
    </row>
    <row r="234" customFormat="false" ht="15" hidden="false" customHeight="false" outlineLevel="0" collapsed="false">
      <c r="A234" s="33" t="n">
        <v>45279</v>
      </c>
      <c r="B234" s="12" t="str">
        <f aca="false">TEXT(A234,"yyyy-mm")</f>
        <v>2023-12</v>
      </c>
      <c r="C234" s="12" t="s">
        <v>915</v>
      </c>
      <c r="D234" s="12" t="s">
        <v>678</v>
      </c>
      <c r="E234" s="12" t="s">
        <v>1108</v>
      </c>
      <c r="F234" s="12" t="s">
        <v>556</v>
      </c>
      <c r="G234" s="12" t="s">
        <v>1109</v>
      </c>
      <c r="H234" s="12" t="s">
        <v>345</v>
      </c>
      <c r="I234" s="12" t="str">
        <f aca="false">IF(G234="","",IF(COUNTIF(Registro!$G$5:$G$804,G234)&gt;0,"SI","NO"))</f>
        <v>NO</v>
      </c>
    </row>
    <row r="235" customFormat="false" ht="15" hidden="false" customHeight="false" outlineLevel="0" collapsed="false">
      <c r="A235" s="33" t="n">
        <v>45224</v>
      </c>
      <c r="B235" s="12" t="str">
        <f aca="false">TEXT(A235,"yyyy-mm")</f>
        <v>2023-10</v>
      </c>
      <c r="C235" s="12" t="s">
        <v>915</v>
      </c>
      <c r="D235" s="12" t="s">
        <v>1102</v>
      </c>
      <c r="E235" s="12" t="s">
        <v>1110</v>
      </c>
      <c r="F235" s="12" t="s">
        <v>387</v>
      </c>
      <c r="G235" s="12" t="s">
        <v>1111</v>
      </c>
      <c r="H235" s="12" t="s">
        <v>345</v>
      </c>
      <c r="I235" s="12" t="str">
        <f aca="false">IF(G235="","",IF(COUNTIF(Registro!$G$5:$G$804,G235)&gt;0,"SI","NO"))</f>
        <v>SI</v>
      </c>
    </row>
    <row r="236" customFormat="false" ht="15" hidden="false" customHeight="false" outlineLevel="0" collapsed="false">
      <c r="A236" s="33" t="n">
        <v>45219</v>
      </c>
      <c r="B236" s="12" t="str">
        <f aca="false">TEXT(A236,"yyyy-mm")</f>
        <v>2023-10</v>
      </c>
      <c r="C236" s="12" t="s">
        <v>915</v>
      </c>
      <c r="D236" s="12" t="s">
        <v>1112</v>
      </c>
      <c r="E236" s="12" t="s">
        <v>1113</v>
      </c>
      <c r="F236" s="12" t="s">
        <v>805</v>
      </c>
      <c r="G236" s="12" t="s">
        <v>1114</v>
      </c>
      <c r="H236" s="12" t="s">
        <v>351</v>
      </c>
      <c r="I236" s="12" t="str">
        <f aca="false">IF(G236="","",IF(COUNTIF(Registro!$G$5:$G$804,G236)&gt;0,"SI","NO"))</f>
        <v>NO</v>
      </c>
    </row>
    <row r="237" customFormat="false" ht="15" hidden="false" customHeight="false" outlineLevel="0" collapsed="false">
      <c r="A237" s="33" t="n">
        <v>45200</v>
      </c>
      <c r="B237" s="12" t="str">
        <f aca="false">TEXT(A237,"yyyy-mm")</f>
        <v>2023-10</v>
      </c>
      <c r="C237" s="12" t="s">
        <v>915</v>
      </c>
      <c r="D237" s="12" t="s">
        <v>1115</v>
      </c>
      <c r="E237" s="12" t="s">
        <v>1116</v>
      </c>
      <c r="F237" s="12" t="s">
        <v>343</v>
      </c>
      <c r="G237" s="12" t="s">
        <v>1117</v>
      </c>
      <c r="H237" s="12" t="s">
        <v>345</v>
      </c>
      <c r="I237" s="12" t="str">
        <f aca="false">IF(G237="","",IF(COUNTIF(Registro!$G$5:$G$804,G237)&gt;0,"SI","NO"))</f>
        <v>NO</v>
      </c>
    </row>
    <row r="238" customFormat="false" ht="15" hidden="false" customHeight="false" outlineLevel="0" collapsed="false">
      <c r="A238" s="33" t="n">
        <v>45187</v>
      </c>
      <c r="B238" s="12" t="str">
        <f aca="false">TEXT(A238,"yyyy-mm")</f>
        <v>2023-09</v>
      </c>
      <c r="C238" s="12" t="s">
        <v>915</v>
      </c>
      <c r="D238" s="12" t="s">
        <v>407</v>
      </c>
      <c r="E238" s="12" t="s">
        <v>1118</v>
      </c>
      <c r="F238" s="12" t="s">
        <v>963</v>
      </c>
      <c r="G238" s="12" t="s">
        <v>1119</v>
      </c>
      <c r="H238" s="12" t="s">
        <v>345</v>
      </c>
      <c r="I238" s="12" t="str">
        <f aca="false">IF(G238="","",IF(COUNTIF(Registro!$G$5:$G$804,G238)&gt;0,"SI","NO"))</f>
        <v>SI</v>
      </c>
    </row>
    <row r="239" customFormat="false" ht="15" hidden="false" customHeight="false" outlineLevel="0" collapsed="false">
      <c r="A239" s="33" t="n">
        <v>45187</v>
      </c>
      <c r="B239" s="12" t="str">
        <f aca="false">TEXT(A239,"yyyy-mm")</f>
        <v>2023-09</v>
      </c>
      <c r="C239" s="12" t="s">
        <v>915</v>
      </c>
      <c r="D239" s="12" t="s">
        <v>1120</v>
      </c>
      <c r="E239" s="12" t="s">
        <v>1121</v>
      </c>
      <c r="F239" s="12" t="s">
        <v>591</v>
      </c>
      <c r="G239" s="12" t="s">
        <v>1122</v>
      </c>
      <c r="H239" s="12" t="s">
        <v>351</v>
      </c>
      <c r="I239" s="12" t="str">
        <f aca="false">IF(G239="","",IF(COUNTIF(Registro!$G$5:$G$804,G239)&gt;0,"SI","NO"))</f>
        <v>SI</v>
      </c>
    </row>
    <row r="240" customFormat="false" ht="15" hidden="false" customHeight="false" outlineLevel="0" collapsed="false">
      <c r="A240" s="33" t="n">
        <v>45187</v>
      </c>
      <c r="B240" s="12" t="str">
        <f aca="false">TEXT(A240,"yyyy-mm")</f>
        <v>2023-09</v>
      </c>
      <c r="C240" s="12" t="s">
        <v>915</v>
      </c>
      <c r="D240" s="12" t="s">
        <v>1123</v>
      </c>
      <c r="E240" s="12" t="s">
        <v>1124</v>
      </c>
      <c r="F240" s="12" t="s">
        <v>655</v>
      </c>
      <c r="G240" s="12" t="s">
        <v>1125</v>
      </c>
      <c r="H240" s="12" t="s">
        <v>351</v>
      </c>
      <c r="I240" s="12" t="str">
        <f aca="false">IF(G240="","",IF(COUNTIF(Registro!$G$5:$G$804,G240)&gt;0,"SI","NO"))</f>
        <v>SI</v>
      </c>
    </row>
    <row r="241" customFormat="false" ht="15" hidden="false" customHeight="false" outlineLevel="0" collapsed="false">
      <c r="A241" s="33" t="n">
        <v>45180</v>
      </c>
      <c r="B241" s="12" t="str">
        <f aca="false">TEXT(A241,"yyyy-mm")</f>
        <v>2023-09</v>
      </c>
      <c r="C241" s="12" t="s">
        <v>915</v>
      </c>
      <c r="D241" s="12" t="s">
        <v>1126</v>
      </c>
      <c r="E241" s="12" t="s">
        <v>1127</v>
      </c>
      <c r="F241" s="12" t="s">
        <v>526</v>
      </c>
      <c r="G241" s="12" t="s">
        <v>1128</v>
      </c>
      <c r="H241" s="12" t="s">
        <v>345</v>
      </c>
      <c r="I241" s="12" t="str">
        <f aca="false">IF(G241="","",IF(COUNTIF(Registro!$G$5:$G$804,G241)&gt;0,"SI","NO"))</f>
        <v>NO</v>
      </c>
    </row>
    <row r="242" customFormat="false" ht="15" hidden="false" customHeight="false" outlineLevel="0" collapsed="false">
      <c r="A242" s="33" t="n">
        <v>45177</v>
      </c>
      <c r="B242" s="12" t="str">
        <f aca="false">TEXT(A242,"yyyy-mm")</f>
        <v>2023-09</v>
      </c>
      <c r="C242" s="12" t="s">
        <v>915</v>
      </c>
      <c r="D242" s="12" t="s">
        <v>458</v>
      </c>
      <c r="E242" s="12" t="s">
        <v>1129</v>
      </c>
      <c r="F242" s="12" t="s">
        <v>433</v>
      </c>
      <c r="G242" s="12" t="s">
        <v>1130</v>
      </c>
      <c r="H242" s="12" t="s">
        <v>351</v>
      </c>
      <c r="I242" s="12" t="str">
        <f aca="false">IF(G242="","",IF(COUNTIF(Registro!$G$5:$G$804,G242)&gt;0,"SI","NO"))</f>
        <v>NO</v>
      </c>
    </row>
    <row r="243" customFormat="false" ht="15" hidden="false" customHeight="false" outlineLevel="0" collapsed="false">
      <c r="A243" s="33" t="n">
        <v>45157</v>
      </c>
      <c r="B243" s="12" t="str">
        <f aca="false">TEXT(A243,"yyyy-mm")</f>
        <v>2023-08</v>
      </c>
      <c r="C243" s="12" t="s">
        <v>915</v>
      </c>
      <c r="D243" s="12" t="s">
        <v>1131</v>
      </c>
      <c r="E243" s="12" t="s">
        <v>1132</v>
      </c>
      <c r="F243" s="12" t="s">
        <v>1133</v>
      </c>
      <c r="G243" s="12" t="s">
        <v>1134</v>
      </c>
      <c r="H243" s="12" t="s">
        <v>345</v>
      </c>
      <c r="I243" s="12" t="str">
        <f aca="false">IF(G243="","",IF(COUNTIF(Registro!$G$5:$G$804,G243)&gt;0,"SI","NO"))</f>
        <v>NO</v>
      </c>
    </row>
    <row r="244" customFormat="false" ht="15" hidden="false" customHeight="false" outlineLevel="0" collapsed="false">
      <c r="A244" s="33" t="n">
        <v>45070</v>
      </c>
      <c r="B244" s="12" t="str">
        <f aca="false">TEXT(A244,"yyyy-mm")</f>
        <v>2023-05</v>
      </c>
      <c r="C244" s="12" t="s">
        <v>915</v>
      </c>
      <c r="D244" s="12" t="s">
        <v>458</v>
      </c>
      <c r="E244" s="12" t="s">
        <v>1135</v>
      </c>
      <c r="F244" s="12" t="s">
        <v>1011</v>
      </c>
      <c r="G244" s="12" t="s">
        <v>1136</v>
      </c>
      <c r="H244" s="12" t="s">
        <v>345</v>
      </c>
      <c r="I244" s="12" t="str">
        <f aca="false">IF(G244="","",IF(COUNTIF(Registro!$G$5:$G$804,G244)&gt;0,"SI","NO"))</f>
        <v>NO</v>
      </c>
    </row>
    <row r="245" customFormat="false" ht="15" hidden="false" customHeight="false" outlineLevel="0" collapsed="false">
      <c r="A245" s="33" t="n">
        <v>45066</v>
      </c>
      <c r="B245" s="12" t="str">
        <f aca="false">TEXT(A245,"yyyy-mm")</f>
        <v>2023-05</v>
      </c>
      <c r="C245" s="12" t="s">
        <v>915</v>
      </c>
      <c r="D245" s="12" t="s">
        <v>1137</v>
      </c>
      <c r="E245" s="12" t="s">
        <v>1138</v>
      </c>
      <c r="F245" s="12" t="s">
        <v>1139</v>
      </c>
      <c r="G245" s="12" t="s">
        <v>1140</v>
      </c>
      <c r="H245" s="12" t="s">
        <v>345</v>
      </c>
      <c r="I245" s="12" t="str">
        <f aca="false">IF(G245="","",IF(COUNTIF(Registro!$G$5:$G$804,G245)&gt;0,"SI","NO"))</f>
        <v>NO</v>
      </c>
    </row>
    <row r="246" customFormat="false" ht="15" hidden="false" customHeight="false" outlineLevel="0" collapsed="false">
      <c r="A246" s="33" t="n">
        <v>45065</v>
      </c>
      <c r="B246" s="12" t="str">
        <f aca="false">TEXT(A246,"yyyy-mm")</f>
        <v>2023-05</v>
      </c>
      <c r="C246" s="12" t="s">
        <v>915</v>
      </c>
      <c r="D246" s="12" t="s">
        <v>769</v>
      </c>
      <c r="E246" s="12" t="s">
        <v>1141</v>
      </c>
      <c r="F246" s="12" t="s">
        <v>710</v>
      </c>
      <c r="G246" s="12" t="s">
        <v>1142</v>
      </c>
      <c r="H246" s="12" t="s">
        <v>345</v>
      </c>
      <c r="I246" s="12" t="str">
        <f aca="false">IF(G246="","",IF(COUNTIF(Registro!$G$5:$G$804,G246)&gt;0,"SI","NO"))</f>
        <v>NO</v>
      </c>
    </row>
    <row r="247" customFormat="false" ht="15" hidden="false" customHeight="false" outlineLevel="0" collapsed="false">
      <c r="A247" s="33" t="n">
        <v>45032</v>
      </c>
      <c r="B247" s="12" t="str">
        <f aca="false">TEXT(A247,"yyyy-mm")</f>
        <v>2023-04</v>
      </c>
      <c r="C247" s="12" t="s">
        <v>915</v>
      </c>
      <c r="D247" s="12" t="s">
        <v>670</v>
      </c>
      <c r="E247" s="12" t="s">
        <v>1143</v>
      </c>
      <c r="F247" s="12" t="s">
        <v>504</v>
      </c>
      <c r="G247" s="12" t="s">
        <v>1144</v>
      </c>
      <c r="H247" s="12" t="s">
        <v>345</v>
      </c>
      <c r="I247" s="12" t="str">
        <f aca="false">IF(G247="","",IF(COUNTIF(Registro!$G$5:$G$804,G247)&gt;0,"SI","NO"))</f>
        <v>NO</v>
      </c>
    </row>
    <row r="248" customFormat="false" ht="15" hidden="false" customHeight="false" outlineLevel="0" collapsed="false">
      <c r="A248" s="33" t="n">
        <v>45024</v>
      </c>
      <c r="B248" s="12" t="str">
        <f aca="false">TEXT(A248,"yyyy-mm")</f>
        <v>2023-04</v>
      </c>
      <c r="C248" s="12" t="s">
        <v>915</v>
      </c>
      <c r="D248" s="12" t="s">
        <v>1145</v>
      </c>
      <c r="E248" s="12" t="s">
        <v>1146</v>
      </c>
      <c r="F248" s="12" t="s">
        <v>672</v>
      </c>
      <c r="G248" s="12" t="s">
        <v>1147</v>
      </c>
      <c r="H248" s="12" t="s">
        <v>351</v>
      </c>
      <c r="I248" s="12" t="str">
        <f aca="false">IF(G248="","",IF(COUNTIF(Registro!$G$5:$G$804,G248)&gt;0,"SI","NO"))</f>
        <v>NO</v>
      </c>
    </row>
    <row r="249" customFormat="false" ht="15" hidden="false" customHeight="false" outlineLevel="0" collapsed="false">
      <c r="A249" s="33" t="n">
        <v>45021</v>
      </c>
      <c r="B249" s="12" t="str">
        <f aca="false">TEXT(A249,"yyyy-mm")</f>
        <v>2023-04</v>
      </c>
      <c r="C249" s="12" t="s">
        <v>915</v>
      </c>
      <c r="D249" s="12" t="s">
        <v>1148</v>
      </c>
      <c r="E249" s="12" t="s">
        <v>1149</v>
      </c>
      <c r="F249" s="12" t="s">
        <v>1150</v>
      </c>
      <c r="G249" s="12" t="s">
        <v>1151</v>
      </c>
      <c r="H249" s="12" t="s">
        <v>345</v>
      </c>
      <c r="I249" s="12" t="str">
        <f aca="false">IF(G249="","",IF(COUNTIF(Registro!$G$5:$G$804,G249)&gt;0,"SI","NO"))</f>
        <v>NO</v>
      </c>
    </row>
    <row r="250" customFormat="false" ht="15" hidden="false" customHeight="false" outlineLevel="0" collapsed="false">
      <c r="A250" s="33" t="n">
        <v>45008</v>
      </c>
      <c r="B250" s="12" t="str">
        <f aca="false">TEXT(A250,"yyyy-mm")</f>
        <v>2023-03</v>
      </c>
      <c r="C250" s="12" t="s">
        <v>915</v>
      </c>
      <c r="D250" s="12" t="s">
        <v>1152</v>
      </c>
      <c r="E250" s="12" t="s">
        <v>1153</v>
      </c>
      <c r="F250" s="12" t="s">
        <v>1154</v>
      </c>
      <c r="G250" s="12" t="s">
        <v>1155</v>
      </c>
      <c r="H250" s="12" t="s">
        <v>345</v>
      </c>
      <c r="I250" s="12" t="str">
        <f aca="false">IF(G250="","",IF(COUNTIF(Registro!$G$5:$G$804,G250)&gt;0,"SI","NO"))</f>
        <v>NO</v>
      </c>
    </row>
    <row r="251" customFormat="false" ht="15" hidden="false" customHeight="false" outlineLevel="0" collapsed="false">
      <c r="A251" s="33" t="n">
        <v>44993</v>
      </c>
      <c r="B251" s="12" t="str">
        <f aca="false">TEXT(A251,"yyyy-mm")</f>
        <v>2023-03</v>
      </c>
      <c r="C251" s="12" t="s">
        <v>915</v>
      </c>
      <c r="D251" s="12" t="s">
        <v>1156</v>
      </c>
      <c r="E251" s="12" t="s">
        <v>1156</v>
      </c>
      <c r="F251" s="12" t="s">
        <v>1157</v>
      </c>
      <c r="G251" s="12" t="s">
        <v>1158</v>
      </c>
      <c r="H251" s="12" t="s">
        <v>345</v>
      </c>
      <c r="I251" s="12" t="str">
        <f aca="false">IF(G251="","",IF(COUNTIF(Registro!$G$5:$G$804,G251)&gt;0,"SI","NO"))</f>
        <v>NO</v>
      </c>
    </row>
    <row r="252" customFormat="false" ht="15" hidden="false" customHeight="false" outlineLevel="0" collapsed="false">
      <c r="A252" s="33" t="n">
        <v>44992</v>
      </c>
      <c r="B252" s="12" t="str">
        <f aca="false">TEXT(A252,"yyyy-mm")</f>
        <v>2023-03</v>
      </c>
      <c r="C252" s="12" t="s">
        <v>915</v>
      </c>
      <c r="D252" s="12" t="s">
        <v>1159</v>
      </c>
      <c r="E252" s="12" t="s">
        <v>1160</v>
      </c>
      <c r="F252" s="12" t="s">
        <v>1161</v>
      </c>
      <c r="G252" s="12" t="s">
        <v>1162</v>
      </c>
      <c r="H252" s="12" t="s">
        <v>345</v>
      </c>
      <c r="I252" s="12" t="str">
        <f aca="false">IF(G252="","",IF(COUNTIF(Registro!$G$5:$G$804,G252)&gt;0,"SI","NO"))</f>
        <v>NO</v>
      </c>
    </row>
    <row r="253" customFormat="false" ht="15" hidden="false" customHeight="false" outlineLevel="0" collapsed="false">
      <c r="A253" s="33" t="n">
        <v>44987</v>
      </c>
      <c r="B253" s="12" t="str">
        <f aca="false">TEXT(A253,"yyyy-mm")</f>
        <v>2023-03</v>
      </c>
      <c r="C253" s="12" t="s">
        <v>915</v>
      </c>
      <c r="D253" s="12" t="s">
        <v>1163</v>
      </c>
      <c r="E253" s="12" t="s">
        <v>1164</v>
      </c>
      <c r="F253" s="12" t="s">
        <v>710</v>
      </c>
      <c r="G253" s="12" t="s">
        <v>1165</v>
      </c>
      <c r="H253" s="12" t="s">
        <v>345</v>
      </c>
      <c r="I253" s="12" t="str">
        <f aca="false">IF(G253="","",IF(COUNTIF(Registro!$G$5:$G$804,G253)&gt;0,"SI","NO"))</f>
        <v>NO</v>
      </c>
    </row>
    <row r="254" customFormat="false" ht="15" hidden="false" customHeight="false" outlineLevel="0" collapsed="false">
      <c r="A254" s="33" t="n">
        <v>44967</v>
      </c>
      <c r="B254" s="12" t="str">
        <f aca="false">TEXT(A254,"yyyy-mm")</f>
        <v>2023-02</v>
      </c>
      <c r="C254" s="12" t="s">
        <v>915</v>
      </c>
      <c r="D254" s="12" t="s">
        <v>821</v>
      </c>
      <c r="E254" s="12" t="s">
        <v>1166</v>
      </c>
      <c r="F254" s="12" t="s">
        <v>963</v>
      </c>
      <c r="G254" s="12" t="s">
        <v>1167</v>
      </c>
      <c r="H254" s="12" t="s">
        <v>345</v>
      </c>
      <c r="I254" s="12" t="str">
        <f aca="false">IF(G254="","",IF(COUNTIF(Registro!$G$5:$G$804,G254)&gt;0,"SI","NO"))</f>
        <v>NO</v>
      </c>
    </row>
    <row r="255" customFormat="false" ht="15" hidden="false" customHeight="false" outlineLevel="0" collapsed="false">
      <c r="A255" s="33" t="n">
        <v>44955</v>
      </c>
      <c r="B255" s="12" t="str">
        <f aca="false">TEXT(A255,"yyyy-mm")</f>
        <v>2023-01</v>
      </c>
      <c r="C255" s="12" t="s">
        <v>915</v>
      </c>
      <c r="D255" s="12" t="s">
        <v>1168</v>
      </c>
      <c r="E255" s="12" t="s">
        <v>1169</v>
      </c>
      <c r="F255" s="12" t="s">
        <v>1170</v>
      </c>
      <c r="G255" s="12" t="s">
        <v>1171</v>
      </c>
      <c r="H255" s="12" t="s">
        <v>351</v>
      </c>
      <c r="I255" s="12" t="str">
        <f aca="false">IF(G255="","",IF(COUNTIF(Registro!$G$5:$G$804,G255)&gt;0,"SI","NO"))</f>
        <v>NO</v>
      </c>
    </row>
    <row r="256" customFormat="false" ht="15" hidden="false" customHeight="false" outlineLevel="0" collapsed="false">
      <c r="A256" s="33" t="n">
        <v>44951</v>
      </c>
      <c r="B256" s="12" t="str">
        <f aca="false">TEXT(A256,"yyyy-mm")</f>
        <v>2023-01</v>
      </c>
      <c r="C256" s="12" t="s">
        <v>915</v>
      </c>
      <c r="D256" s="12" t="s">
        <v>1172</v>
      </c>
      <c r="E256" s="12" t="s">
        <v>1173</v>
      </c>
      <c r="F256" s="12" t="s">
        <v>1174</v>
      </c>
      <c r="G256" s="12" t="s">
        <v>1175</v>
      </c>
      <c r="H256" s="12" t="s">
        <v>351</v>
      </c>
      <c r="I256" s="12" t="str">
        <f aca="false">IF(G256="","",IF(COUNTIF(Registro!$G$5:$G$804,G256)&gt;0,"SI","NO"))</f>
        <v>NO</v>
      </c>
    </row>
    <row r="257" customFormat="false" ht="15" hidden="false" customHeight="false" outlineLevel="0" collapsed="false">
      <c r="A257" s="33" t="n">
        <v>44922</v>
      </c>
      <c r="B257" s="12" t="str">
        <f aca="false">TEXT(A257,"yyyy-mm")</f>
        <v>2022-12</v>
      </c>
      <c r="C257" s="12" t="s">
        <v>915</v>
      </c>
      <c r="D257" s="12" t="s">
        <v>1176</v>
      </c>
      <c r="E257" s="12" t="s">
        <v>1177</v>
      </c>
      <c r="F257" s="12" t="s">
        <v>1005</v>
      </c>
      <c r="G257" s="12" t="s">
        <v>1178</v>
      </c>
      <c r="H257" s="12" t="s">
        <v>345</v>
      </c>
      <c r="I257" s="12" t="str">
        <f aca="false">IF(G257="","",IF(COUNTIF(Registro!$G$5:$G$804,G257)&gt;0,"SI","NO"))</f>
        <v>NO</v>
      </c>
    </row>
    <row r="258" customFormat="false" ht="15" hidden="false" customHeight="false" outlineLevel="0" collapsed="false">
      <c r="A258" s="33" t="n">
        <v>44858</v>
      </c>
      <c r="B258" s="12" t="str">
        <f aca="false">TEXT(A258,"yyyy-mm")</f>
        <v>2022-10</v>
      </c>
      <c r="C258" s="12" t="s">
        <v>915</v>
      </c>
      <c r="D258" s="12" t="s">
        <v>347</v>
      </c>
      <c r="E258" s="12" t="s">
        <v>1179</v>
      </c>
      <c r="F258" s="12" t="s">
        <v>847</v>
      </c>
      <c r="G258" s="12" t="s">
        <v>1180</v>
      </c>
      <c r="H258" s="12" t="s">
        <v>345</v>
      </c>
      <c r="I258" s="12" t="str">
        <f aca="false">IF(G258="","",IF(COUNTIF(Registro!$G$5:$G$804,G258)&gt;0,"SI","NO"))</f>
        <v>NO</v>
      </c>
    </row>
    <row r="259" customFormat="false" ht="15" hidden="false" customHeight="false" outlineLevel="0" collapsed="false">
      <c r="A259" s="33" t="n">
        <v>44858</v>
      </c>
      <c r="B259" s="12" t="str">
        <f aca="false">TEXT(A259,"yyyy-mm")</f>
        <v>2022-10</v>
      </c>
      <c r="C259" s="12" t="s">
        <v>915</v>
      </c>
      <c r="D259" s="12" t="s">
        <v>1181</v>
      </c>
      <c r="E259" s="12" t="s">
        <v>1182</v>
      </c>
      <c r="F259" s="12" t="s">
        <v>1183</v>
      </c>
      <c r="G259" s="12" t="s">
        <v>1184</v>
      </c>
      <c r="H259" s="12" t="s">
        <v>351</v>
      </c>
      <c r="I259" s="12" t="str">
        <f aca="false">IF(G259="","",IF(COUNTIF(Registro!$G$5:$G$804,G259)&gt;0,"SI","NO"))</f>
        <v>NO</v>
      </c>
    </row>
    <row r="260" customFormat="false" ht="15" hidden="false" customHeight="false" outlineLevel="0" collapsed="false">
      <c r="A260" s="33" t="n">
        <v>44852</v>
      </c>
      <c r="B260" s="12" t="str">
        <f aca="false">TEXT(A260,"yyyy-mm")</f>
        <v>2022-10</v>
      </c>
      <c r="C260" s="12" t="s">
        <v>915</v>
      </c>
      <c r="D260" s="12" t="s">
        <v>1185</v>
      </c>
      <c r="E260" s="12" t="s">
        <v>1186</v>
      </c>
      <c r="F260" s="12" t="s">
        <v>534</v>
      </c>
      <c r="G260" s="12" t="s">
        <v>1187</v>
      </c>
      <c r="H260" s="12" t="s">
        <v>345</v>
      </c>
      <c r="I260" s="12" t="str">
        <f aca="false">IF(G260="","",IF(COUNTIF(Registro!$G$5:$G$804,G260)&gt;0,"SI","NO"))</f>
        <v>NO</v>
      </c>
    </row>
    <row r="261" customFormat="false" ht="15" hidden="false" customHeight="false" outlineLevel="0" collapsed="false">
      <c r="A261" s="33" t="n">
        <v>44846</v>
      </c>
      <c r="B261" s="12" t="str">
        <f aca="false">TEXT(A261,"yyyy-mm")</f>
        <v>2022-10</v>
      </c>
      <c r="C261" s="12" t="s">
        <v>915</v>
      </c>
      <c r="D261" s="12" t="s">
        <v>1188</v>
      </c>
      <c r="E261" s="12" t="s">
        <v>1189</v>
      </c>
      <c r="F261" s="12" t="s">
        <v>1174</v>
      </c>
      <c r="G261" s="12" t="s">
        <v>1190</v>
      </c>
      <c r="H261" s="12" t="s">
        <v>345</v>
      </c>
      <c r="I261" s="12" t="str">
        <f aca="false">IF(G261="","",IF(COUNTIF(Registro!$G$5:$G$804,G261)&gt;0,"SI","NO"))</f>
        <v>NO</v>
      </c>
    </row>
    <row r="262" customFormat="false" ht="15" hidden="false" customHeight="false" outlineLevel="0" collapsed="false">
      <c r="A262" s="33" t="n">
        <v>44830</v>
      </c>
      <c r="B262" s="12" t="str">
        <f aca="false">TEXT(A262,"yyyy-mm")</f>
        <v>2022-09</v>
      </c>
      <c r="C262" s="12" t="s">
        <v>915</v>
      </c>
      <c r="D262" s="12" t="s">
        <v>1191</v>
      </c>
      <c r="E262" s="12" t="s">
        <v>1192</v>
      </c>
      <c r="F262" s="12" t="s">
        <v>1193</v>
      </c>
      <c r="G262" s="12" t="s">
        <v>1194</v>
      </c>
      <c r="H262" s="12" t="s">
        <v>351</v>
      </c>
      <c r="I262" s="12" t="str">
        <f aca="false">IF(G262="","",IF(COUNTIF(Registro!$G$5:$G$804,G262)&gt;0,"SI","NO"))</f>
        <v>NO</v>
      </c>
    </row>
    <row r="263" customFormat="false" ht="15" hidden="false" customHeight="false" outlineLevel="0" collapsed="false">
      <c r="A263" s="33" t="n">
        <v>44823</v>
      </c>
      <c r="B263" s="12" t="str">
        <f aca="false">TEXT(A263,"yyyy-mm")</f>
        <v>2022-09</v>
      </c>
      <c r="C263" s="12" t="s">
        <v>915</v>
      </c>
      <c r="D263" s="12" t="s">
        <v>1195</v>
      </c>
      <c r="E263" s="12" t="s">
        <v>1196</v>
      </c>
      <c r="F263" s="12" t="s">
        <v>1008</v>
      </c>
      <c r="G263" s="12" t="s">
        <v>1197</v>
      </c>
      <c r="H263" s="12" t="s">
        <v>345</v>
      </c>
      <c r="I263" s="12" t="str">
        <f aca="false">IF(G263="","",IF(COUNTIF(Registro!$G$5:$G$804,G263)&gt;0,"SI","NO"))</f>
        <v>SI</v>
      </c>
    </row>
    <row r="264" customFormat="false" ht="15" hidden="false" customHeight="false" outlineLevel="0" collapsed="false">
      <c r="A264" s="33" t="n">
        <v>44802</v>
      </c>
      <c r="B264" s="12" t="str">
        <f aca="false">TEXT(A264,"yyyy-mm")</f>
        <v>2022-08</v>
      </c>
      <c r="C264" s="12" t="s">
        <v>915</v>
      </c>
      <c r="D264" s="12" t="s">
        <v>1198</v>
      </c>
      <c r="E264" s="12" t="s">
        <v>1199</v>
      </c>
      <c r="F264" s="12" t="s">
        <v>1200</v>
      </c>
      <c r="G264" s="12" t="s">
        <v>1201</v>
      </c>
      <c r="H264" s="12" t="s">
        <v>345</v>
      </c>
      <c r="I264" s="12" t="str">
        <f aca="false">IF(G264="","",IF(COUNTIF(Registro!$G$5:$G$804,G264)&gt;0,"SI","NO"))</f>
        <v>NO</v>
      </c>
    </row>
    <row r="265" customFormat="false" ht="15" hidden="false" customHeight="false" outlineLevel="0" collapsed="false">
      <c r="A265" s="33" t="n">
        <v>44798</v>
      </c>
      <c r="B265" s="12" t="str">
        <f aca="false">TEXT(A265,"yyyy-mm")</f>
        <v>2022-08</v>
      </c>
      <c r="C265" s="12" t="s">
        <v>915</v>
      </c>
      <c r="D265" s="12" t="s">
        <v>1202</v>
      </c>
      <c r="E265" s="12" t="s">
        <v>1203</v>
      </c>
      <c r="F265" s="12" t="s">
        <v>526</v>
      </c>
      <c r="G265" s="12" t="s">
        <v>1204</v>
      </c>
      <c r="H265" s="12" t="s">
        <v>351</v>
      </c>
      <c r="I265" s="12" t="str">
        <f aca="false">IF(G265="","",IF(COUNTIF(Registro!$G$5:$G$804,G265)&gt;0,"SI","NO"))</f>
        <v>NO</v>
      </c>
    </row>
    <row r="266" customFormat="false" ht="15" hidden="false" customHeight="false" outlineLevel="0" collapsed="false">
      <c r="A266" s="33" t="n">
        <v>44798</v>
      </c>
      <c r="B266" s="12" t="str">
        <f aca="false">TEXT(A266,"yyyy-mm")</f>
        <v>2022-08</v>
      </c>
      <c r="C266" s="12" t="s">
        <v>915</v>
      </c>
      <c r="D266" s="12" t="s">
        <v>1205</v>
      </c>
      <c r="E266" s="12" t="s">
        <v>1206</v>
      </c>
      <c r="F266" s="12" t="s">
        <v>1207</v>
      </c>
      <c r="G266" s="12" t="s">
        <v>1208</v>
      </c>
      <c r="H266" s="12" t="s">
        <v>345</v>
      </c>
      <c r="I266" s="12" t="str">
        <f aca="false">IF(G266="","",IF(COUNTIF(Registro!$G$5:$G$804,G266)&gt;0,"SI","NO"))</f>
        <v>NO</v>
      </c>
    </row>
    <row r="267" customFormat="false" ht="15" hidden="false" customHeight="false" outlineLevel="0" collapsed="false">
      <c r="A267" s="33" t="n">
        <v>44783</v>
      </c>
      <c r="B267" s="12" t="str">
        <f aca="false">TEXT(A267,"yyyy-mm")</f>
        <v>2022-08</v>
      </c>
      <c r="C267" s="12" t="s">
        <v>915</v>
      </c>
      <c r="D267" s="12" t="s">
        <v>353</v>
      </c>
      <c r="E267" s="12" t="s">
        <v>1209</v>
      </c>
      <c r="F267" s="12" t="s">
        <v>598</v>
      </c>
      <c r="G267" s="12" t="s">
        <v>1210</v>
      </c>
      <c r="H267" s="12" t="s">
        <v>345</v>
      </c>
      <c r="I267" s="12" t="str">
        <f aca="false">IF(G267="","",IF(COUNTIF(Registro!$G$5:$G$804,G267)&gt;0,"SI","NO"))</f>
        <v>NO</v>
      </c>
    </row>
    <row r="268" customFormat="false" ht="15" hidden="false" customHeight="false" outlineLevel="0" collapsed="false">
      <c r="A268" s="33" t="n">
        <v>44749</v>
      </c>
      <c r="B268" s="12" t="str">
        <f aca="false">TEXT(A268,"yyyy-mm")</f>
        <v>2022-07</v>
      </c>
      <c r="C268" s="12" t="s">
        <v>915</v>
      </c>
      <c r="D268" s="12" t="s">
        <v>762</v>
      </c>
      <c r="E268" s="12" t="s">
        <v>1211</v>
      </c>
      <c r="F268" s="12" t="s">
        <v>1212</v>
      </c>
      <c r="G268" s="12" t="s">
        <v>1213</v>
      </c>
      <c r="H268" s="12" t="s">
        <v>345</v>
      </c>
      <c r="I268" s="12" t="str">
        <f aca="false">IF(G268="","",IF(COUNTIF(Registro!$G$5:$G$804,G268)&gt;0,"SI","NO"))</f>
        <v>NO</v>
      </c>
    </row>
    <row r="269" customFormat="false" ht="15" hidden="false" customHeight="false" outlineLevel="0" collapsed="false">
      <c r="A269" s="33" t="n">
        <v>44745</v>
      </c>
      <c r="B269" s="12" t="str">
        <f aca="false">TEXT(A269,"yyyy-mm")</f>
        <v>2022-07</v>
      </c>
      <c r="C269" s="12" t="s">
        <v>915</v>
      </c>
      <c r="D269" s="12" t="s">
        <v>678</v>
      </c>
      <c r="E269" s="12" t="s">
        <v>1214</v>
      </c>
      <c r="F269" s="12" t="s">
        <v>1215</v>
      </c>
      <c r="G269" s="12" t="s">
        <v>1216</v>
      </c>
      <c r="H269" s="12" t="s">
        <v>345</v>
      </c>
      <c r="I269" s="12" t="str">
        <f aca="false">IF(G269="","",IF(COUNTIF(Registro!$G$5:$G$804,G269)&gt;0,"SI","NO"))</f>
        <v>NO</v>
      </c>
    </row>
    <row r="270" customFormat="false" ht="15" hidden="false" customHeight="false" outlineLevel="0" collapsed="false">
      <c r="A270" s="33" t="n">
        <v>44745</v>
      </c>
      <c r="B270" s="12" t="str">
        <f aca="false">TEXT(A270,"yyyy-mm")</f>
        <v>2022-07</v>
      </c>
      <c r="C270" s="12" t="s">
        <v>915</v>
      </c>
      <c r="D270" s="12" t="s">
        <v>1217</v>
      </c>
      <c r="E270" s="12" t="s">
        <v>1218</v>
      </c>
      <c r="F270" s="12" t="s">
        <v>395</v>
      </c>
      <c r="G270" s="12" t="s">
        <v>1219</v>
      </c>
      <c r="H270" s="12" t="s">
        <v>345</v>
      </c>
      <c r="I270" s="12" t="str">
        <f aca="false">IF(G270="","",IF(COUNTIF(Registro!$G$5:$G$804,G270)&gt;0,"SI","NO"))</f>
        <v>NO</v>
      </c>
    </row>
    <row r="271" customFormat="false" ht="15" hidden="false" customHeight="false" outlineLevel="0" collapsed="false">
      <c r="A271" s="33" t="n">
        <v>44739</v>
      </c>
      <c r="B271" s="12" t="str">
        <f aca="false">TEXT(A271,"yyyy-mm")</f>
        <v>2022-06</v>
      </c>
      <c r="C271" s="12" t="s">
        <v>915</v>
      </c>
      <c r="D271" s="12" t="s">
        <v>465</v>
      </c>
      <c r="E271" s="12" t="s">
        <v>1220</v>
      </c>
      <c r="F271" s="12" t="s">
        <v>717</v>
      </c>
      <c r="G271" s="12" t="s">
        <v>1221</v>
      </c>
      <c r="H271" s="12" t="s">
        <v>351</v>
      </c>
      <c r="I271" s="12" t="str">
        <f aca="false">IF(G271="","",IF(COUNTIF(Registro!$G$5:$G$804,G271)&gt;0,"SI","NO"))</f>
        <v>NO</v>
      </c>
    </row>
    <row r="272" customFormat="false" ht="15" hidden="false" customHeight="false" outlineLevel="0" collapsed="false">
      <c r="A272" s="33" t="n">
        <v>44718</v>
      </c>
      <c r="B272" s="12" t="str">
        <f aca="false">TEXT(A272,"yyyy-mm")</f>
        <v>2022-06</v>
      </c>
      <c r="C272" s="12" t="s">
        <v>915</v>
      </c>
      <c r="D272" s="12" t="s">
        <v>347</v>
      </c>
      <c r="E272" s="12" t="s">
        <v>1222</v>
      </c>
      <c r="F272" s="12" t="s">
        <v>1223</v>
      </c>
      <c r="G272" s="12" t="s">
        <v>1224</v>
      </c>
      <c r="H272" s="12" t="s">
        <v>345</v>
      </c>
      <c r="I272" s="12" t="str">
        <f aca="false">IF(G272="","",IF(COUNTIF(Registro!$G$5:$G$804,G272)&gt;0,"SI","NO"))</f>
        <v>NO</v>
      </c>
    </row>
    <row r="273" customFormat="false" ht="15" hidden="false" customHeight="false" outlineLevel="0" collapsed="false">
      <c r="A273" s="33" t="n">
        <v>44718</v>
      </c>
      <c r="B273" s="12" t="str">
        <f aca="false">TEXT(A273,"yyyy-mm")</f>
        <v>2022-06</v>
      </c>
      <c r="C273" s="12" t="s">
        <v>915</v>
      </c>
      <c r="D273" s="12" t="s">
        <v>1225</v>
      </c>
      <c r="E273" s="12" t="s">
        <v>1226</v>
      </c>
      <c r="F273" s="12" t="s">
        <v>634</v>
      </c>
      <c r="G273" s="12" t="s">
        <v>1227</v>
      </c>
      <c r="H273" s="12" t="s">
        <v>345</v>
      </c>
      <c r="I273" s="12" t="str">
        <f aca="false">IF(G273="","",IF(COUNTIF(Registro!$G$5:$G$804,G273)&gt;0,"SI","NO"))</f>
        <v>NO</v>
      </c>
    </row>
    <row r="274" customFormat="false" ht="15" hidden="false" customHeight="false" outlineLevel="0" collapsed="false">
      <c r="A274" s="33" t="n">
        <v>44689</v>
      </c>
      <c r="B274" s="12" t="str">
        <f aca="false">TEXT(A274,"yyyy-mm")</f>
        <v>2022-05</v>
      </c>
      <c r="C274" s="12" t="s">
        <v>915</v>
      </c>
      <c r="D274" s="12" t="s">
        <v>1228</v>
      </c>
      <c r="E274" s="12" t="s">
        <v>1229</v>
      </c>
      <c r="F274" s="12" t="s">
        <v>774</v>
      </c>
      <c r="G274" s="12" t="s">
        <v>1230</v>
      </c>
      <c r="H274" s="12" t="s">
        <v>345</v>
      </c>
      <c r="I274" s="12" t="str">
        <f aca="false">IF(G274="","",IF(COUNTIF(Registro!$G$5:$G$804,G274)&gt;0,"SI","NO"))</f>
        <v>NO</v>
      </c>
    </row>
    <row r="275" customFormat="false" ht="15" hidden="false" customHeight="false" outlineLevel="0" collapsed="false">
      <c r="A275" s="33" t="n">
        <v>44688</v>
      </c>
      <c r="B275" s="12" t="str">
        <f aca="false">TEXT(A275,"yyyy-mm")</f>
        <v>2022-05</v>
      </c>
      <c r="C275" s="12" t="s">
        <v>915</v>
      </c>
      <c r="D275" s="12" t="s">
        <v>1231</v>
      </c>
      <c r="E275" s="12" t="s">
        <v>1232</v>
      </c>
      <c r="F275" s="12" t="s">
        <v>1233</v>
      </c>
      <c r="G275" s="12" t="s">
        <v>1234</v>
      </c>
      <c r="H275" s="12" t="s">
        <v>351</v>
      </c>
      <c r="I275" s="12" t="str">
        <f aca="false">IF(G275="","",IF(COUNTIF(Registro!$G$5:$G$804,G275)&gt;0,"SI","NO"))</f>
        <v>NO</v>
      </c>
    </row>
    <row r="276" customFormat="false" ht="15" hidden="false" customHeight="false" outlineLevel="0" collapsed="false">
      <c r="A276" s="33" t="n">
        <v>44687</v>
      </c>
      <c r="B276" s="12" t="str">
        <f aca="false">TEXT(A276,"yyyy-mm")</f>
        <v>2022-05</v>
      </c>
      <c r="C276" s="12" t="s">
        <v>915</v>
      </c>
      <c r="D276" s="12" t="s">
        <v>415</v>
      </c>
      <c r="E276" s="12" t="s">
        <v>1235</v>
      </c>
      <c r="F276" s="12" t="s">
        <v>1011</v>
      </c>
      <c r="G276" s="12" t="s">
        <v>1236</v>
      </c>
      <c r="H276" s="12" t="s">
        <v>345</v>
      </c>
      <c r="I276" s="12" t="str">
        <f aca="false">IF(G276="","",IF(COUNTIF(Registro!$G$5:$G$804,G276)&gt;0,"SI","NO"))</f>
        <v>NO</v>
      </c>
    </row>
    <row r="277" customFormat="false" ht="15" hidden="false" customHeight="false" outlineLevel="0" collapsed="false">
      <c r="A277" s="33" t="n">
        <v>44677</v>
      </c>
      <c r="B277" s="12" t="str">
        <f aca="false">TEXT(A277,"yyyy-mm")</f>
        <v>2022-04</v>
      </c>
      <c r="C277" s="12" t="s">
        <v>915</v>
      </c>
      <c r="D277" s="12" t="s">
        <v>1237</v>
      </c>
      <c r="E277" s="12" t="s">
        <v>1238</v>
      </c>
      <c r="F277" s="12" t="s">
        <v>1239</v>
      </c>
      <c r="G277" s="12" t="s">
        <v>1240</v>
      </c>
      <c r="H277" s="12" t="s">
        <v>345</v>
      </c>
      <c r="I277" s="12" t="str">
        <f aca="false">IF(G277="","",IF(COUNTIF(Registro!$G$5:$G$804,G277)&gt;0,"SI","NO"))</f>
        <v>NO</v>
      </c>
    </row>
    <row r="278" customFormat="false" ht="15" hidden="false" customHeight="false" outlineLevel="0" collapsed="false">
      <c r="A278" s="33" t="n">
        <v>44649</v>
      </c>
      <c r="B278" s="12" t="str">
        <f aca="false">TEXT(A278,"yyyy-mm")</f>
        <v>2022-03</v>
      </c>
      <c r="C278" s="12" t="s">
        <v>915</v>
      </c>
      <c r="D278" s="12" t="s">
        <v>1083</v>
      </c>
      <c r="E278" s="12" t="s">
        <v>1241</v>
      </c>
      <c r="F278" s="12" t="s">
        <v>1242</v>
      </c>
      <c r="G278" s="12" t="s">
        <v>1243</v>
      </c>
      <c r="H278" s="12" t="s">
        <v>345</v>
      </c>
      <c r="I278" s="12" t="str">
        <f aca="false">IF(G278="","",IF(COUNTIF(Registro!$G$5:$G$804,G278)&gt;0,"SI","NO"))</f>
        <v>NO</v>
      </c>
    </row>
    <row r="279" customFormat="false" ht="15" hidden="false" customHeight="false" outlineLevel="0" collapsed="false">
      <c r="A279" s="33" t="n">
        <v>44590</v>
      </c>
      <c r="B279" s="12" t="str">
        <f aca="false">TEXT(A279,"yyyy-mm")</f>
        <v>2022-01</v>
      </c>
      <c r="C279" s="12" t="s">
        <v>915</v>
      </c>
      <c r="D279" s="12" t="s">
        <v>1244</v>
      </c>
      <c r="E279" s="12" t="s">
        <v>580</v>
      </c>
      <c r="F279" s="12" t="s">
        <v>602</v>
      </c>
      <c r="G279" s="12" t="s">
        <v>1245</v>
      </c>
      <c r="H279" s="12" t="s">
        <v>345</v>
      </c>
      <c r="I279" s="12" t="str">
        <f aca="false">IF(G279="","",IF(COUNTIF(Registro!$G$5:$G$804,G279)&gt;0,"SI","NO"))</f>
        <v>NO</v>
      </c>
    </row>
    <row r="280" customFormat="false" ht="15" hidden="false" customHeight="false" outlineLevel="0" collapsed="false">
      <c r="A280" s="33" t="n">
        <v>44571</v>
      </c>
      <c r="B280" s="12" t="str">
        <f aca="false">TEXT(A280,"yyyy-mm")</f>
        <v>2022-01</v>
      </c>
      <c r="C280" s="12" t="s">
        <v>915</v>
      </c>
      <c r="D280" s="12" t="s">
        <v>415</v>
      </c>
      <c r="E280" s="12" t="s">
        <v>1246</v>
      </c>
      <c r="F280" s="12" t="s">
        <v>1011</v>
      </c>
      <c r="G280" s="12" t="s">
        <v>1247</v>
      </c>
      <c r="H280" s="12" t="s">
        <v>351</v>
      </c>
      <c r="I280" s="12" t="str">
        <f aca="false">IF(G280="","",IF(COUNTIF(Registro!$G$5:$G$804,G280)&gt;0,"SI","NO"))</f>
        <v>NO</v>
      </c>
    </row>
    <row r="281" customFormat="false" ht="15" hidden="false" customHeight="false" outlineLevel="0" collapsed="false">
      <c r="A281" s="33" t="n">
        <v>44532</v>
      </c>
      <c r="B281" s="12" t="str">
        <f aca="false">TEXT(A281,"yyyy-mm")</f>
        <v>2021-12</v>
      </c>
      <c r="C281" s="12" t="s">
        <v>915</v>
      </c>
      <c r="D281" s="12" t="s">
        <v>1248</v>
      </c>
      <c r="E281" s="12" t="s">
        <v>1249</v>
      </c>
      <c r="F281" s="12" t="s">
        <v>1043</v>
      </c>
      <c r="G281" s="12" t="s">
        <v>1250</v>
      </c>
      <c r="H281" s="12" t="s">
        <v>345</v>
      </c>
      <c r="I281" s="12" t="str">
        <f aca="false">IF(G281="","",IF(COUNTIF(Registro!$G$5:$G$804,G281)&gt;0,"SI","NO"))</f>
        <v>NO</v>
      </c>
    </row>
    <row r="282" customFormat="false" ht="15" hidden="false" customHeight="false" outlineLevel="0" collapsed="false">
      <c r="A282" s="33" t="n">
        <v>44528</v>
      </c>
      <c r="B282" s="12" t="str">
        <f aca="false">TEXT(A282,"yyyy-mm")</f>
        <v>2021-11</v>
      </c>
      <c r="C282" s="12" t="s">
        <v>915</v>
      </c>
      <c r="D282" s="12" t="s">
        <v>1244</v>
      </c>
      <c r="E282" s="12" t="s">
        <v>1251</v>
      </c>
      <c r="F282" s="12" t="s">
        <v>1252</v>
      </c>
      <c r="G282" s="12" t="s">
        <v>1253</v>
      </c>
      <c r="H282" s="12" t="s">
        <v>345</v>
      </c>
      <c r="I282" s="12" t="str">
        <f aca="false">IF(G282="","",IF(COUNTIF(Registro!$G$5:$G$804,G282)&gt;0,"SI","NO"))</f>
        <v>NO</v>
      </c>
    </row>
    <row r="283" customFormat="false" ht="15" hidden="false" customHeight="false" outlineLevel="0" collapsed="false">
      <c r="A283" s="33" t="n">
        <v>44515</v>
      </c>
      <c r="B283" s="12" t="str">
        <f aca="false">TEXT(A283,"yyyy-mm")</f>
        <v>2021-11</v>
      </c>
      <c r="C283" s="12" t="s">
        <v>915</v>
      </c>
      <c r="D283" s="12" t="s">
        <v>769</v>
      </c>
      <c r="E283" s="12" t="s">
        <v>1254</v>
      </c>
      <c r="F283" s="12" t="s">
        <v>1255</v>
      </c>
      <c r="G283" s="12" t="s">
        <v>1256</v>
      </c>
      <c r="H283" s="12" t="s">
        <v>345</v>
      </c>
      <c r="I283" s="12" t="str">
        <f aca="false">IF(G283="","",IF(COUNTIF(Registro!$G$5:$G$804,G283)&gt;0,"SI","NO"))</f>
        <v>NO</v>
      </c>
    </row>
    <row r="284" customFormat="false" ht="15" hidden="false" customHeight="false" outlineLevel="0" collapsed="false">
      <c r="A284" s="33" t="n">
        <v>44480</v>
      </c>
      <c r="B284" s="12" t="str">
        <f aca="false">TEXT(A284,"yyyy-mm")</f>
        <v>2021-10</v>
      </c>
      <c r="C284" s="12" t="s">
        <v>915</v>
      </c>
      <c r="D284" s="12" t="s">
        <v>741</v>
      </c>
      <c r="E284" s="12" t="s">
        <v>1257</v>
      </c>
      <c r="F284" s="12" t="s">
        <v>485</v>
      </c>
      <c r="G284" s="12" t="s">
        <v>1258</v>
      </c>
      <c r="H284" s="12" t="s">
        <v>345</v>
      </c>
      <c r="I284" s="12" t="str">
        <f aca="false">IF(G284="","",IF(COUNTIF(Registro!$G$5:$G$804,G284)&gt;0,"SI","NO"))</f>
        <v>NO</v>
      </c>
    </row>
    <row r="285" customFormat="false" ht="15" hidden="false" customHeight="false" outlineLevel="0" collapsed="false">
      <c r="A285" s="33" t="n">
        <v>44454</v>
      </c>
      <c r="B285" s="12" t="str">
        <f aca="false">TEXT(A285,"yyyy-mm")</f>
        <v>2021-09</v>
      </c>
      <c r="C285" s="12" t="s">
        <v>915</v>
      </c>
      <c r="D285" s="12" t="s">
        <v>1259</v>
      </c>
      <c r="E285" s="12" t="s">
        <v>1260</v>
      </c>
      <c r="F285" s="12" t="s">
        <v>577</v>
      </c>
      <c r="G285" s="12" t="s">
        <v>1261</v>
      </c>
      <c r="H285" s="12" t="s">
        <v>351</v>
      </c>
      <c r="I285" s="12" t="str">
        <f aca="false">IF(G285="","",IF(COUNTIF(Registro!$G$5:$G$804,G285)&gt;0,"SI","NO"))</f>
        <v>NO</v>
      </c>
    </row>
    <row r="286" customFormat="false" ht="15" hidden="false" customHeight="false" outlineLevel="0" collapsed="false">
      <c r="A286" s="33" t="n">
        <v>44448</v>
      </c>
      <c r="B286" s="12" t="str">
        <f aca="false">TEXT(A286,"yyyy-mm")</f>
        <v>2021-09</v>
      </c>
      <c r="C286" s="12" t="s">
        <v>915</v>
      </c>
      <c r="D286" s="12" t="s">
        <v>1181</v>
      </c>
      <c r="E286" s="12" t="s">
        <v>795</v>
      </c>
      <c r="F286" s="12" t="s">
        <v>1001</v>
      </c>
      <c r="G286" s="12" t="s">
        <v>1262</v>
      </c>
      <c r="H286" s="12" t="s">
        <v>345</v>
      </c>
      <c r="I286" s="12" t="str">
        <f aca="false">IF(G286="","",IF(COUNTIF(Registro!$G$5:$G$804,G286)&gt;0,"SI","NO"))</f>
        <v>NO</v>
      </c>
    </row>
    <row r="287" customFormat="false" ht="15" hidden="false" customHeight="false" outlineLevel="0" collapsed="false">
      <c r="A287" s="33" t="n">
        <v>44445</v>
      </c>
      <c r="B287" s="12" t="str">
        <f aca="false">TEXT(A287,"yyyy-mm")</f>
        <v>2021-09</v>
      </c>
      <c r="C287" s="12" t="s">
        <v>915</v>
      </c>
      <c r="D287" s="12" t="s">
        <v>1263</v>
      </c>
      <c r="E287" s="12" t="s">
        <v>1264</v>
      </c>
      <c r="F287" s="12" t="s">
        <v>1265</v>
      </c>
      <c r="G287" s="12" t="s">
        <v>1266</v>
      </c>
      <c r="H287" s="12" t="s">
        <v>345</v>
      </c>
      <c r="I287" s="12" t="str">
        <f aca="false">IF(G287="","",IF(COUNTIF(Registro!$G$5:$G$804,G287)&gt;0,"SI","NO"))</f>
        <v>NO</v>
      </c>
    </row>
    <row r="288" customFormat="false" ht="15" hidden="false" customHeight="false" outlineLevel="0" collapsed="false">
      <c r="A288" s="33" t="n">
        <v>44439</v>
      </c>
      <c r="B288" s="12" t="str">
        <f aca="false">TEXT(A288,"yyyy-mm")</f>
        <v>2021-08</v>
      </c>
      <c r="C288" s="12" t="s">
        <v>915</v>
      </c>
      <c r="D288" s="12" t="s">
        <v>678</v>
      </c>
      <c r="E288" s="12" t="s">
        <v>1267</v>
      </c>
      <c r="F288" s="12" t="s">
        <v>413</v>
      </c>
      <c r="G288" s="12" t="s">
        <v>1268</v>
      </c>
      <c r="H288" s="12" t="s">
        <v>345</v>
      </c>
      <c r="I288" s="12" t="str">
        <f aca="false">IF(G288="","",IF(COUNTIF(Registro!$G$5:$G$804,G288)&gt;0,"SI","NO"))</f>
        <v>NO</v>
      </c>
    </row>
    <row r="289" customFormat="false" ht="15" hidden="false" customHeight="false" outlineLevel="0" collapsed="false">
      <c r="A289" s="33" t="n">
        <v>44396</v>
      </c>
      <c r="B289" s="12" t="str">
        <f aca="false">TEXT(A289,"yyyy-mm")</f>
        <v>2021-07</v>
      </c>
      <c r="C289" s="12" t="s">
        <v>915</v>
      </c>
      <c r="D289" s="12" t="s">
        <v>1269</v>
      </c>
      <c r="E289" s="12" t="s">
        <v>1270</v>
      </c>
      <c r="F289" s="12" t="s">
        <v>343</v>
      </c>
      <c r="G289" s="12" t="s">
        <v>1271</v>
      </c>
      <c r="H289" s="12" t="s">
        <v>351</v>
      </c>
      <c r="I289" s="12" t="str">
        <f aca="false">IF(G289="","",IF(COUNTIF(Registro!$G$5:$G$804,G289)&gt;0,"SI","NO"))</f>
        <v>NO</v>
      </c>
    </row>
    <row r="290" customFormat="false" ht="15" hidden="false" customHeight="false" outlineLevel="0" collapsed="false">
      <c r="A290" s="33" t="n">
        <v>44353</v>
      </c>
      <c r="B290" s="12" t="str">
        <f aca="false">TEXT(A290,"yyyy-mm")</f>
        <v>2021-06</v>
      </c>
      <c r="C290" s="12" t="s">
        <v>915</v>
      </c>
      <c r="D290" s="12" t="s">
        <v>235</v>
      </c>
      <c r="E290" s="12" t="s">
        <v>1272</v>
      </c>
      <c r="F290" s="12" t="s">
        <v>409</v>
      </c>
      <c r="G290" s="12" t="s">
        <v>1273</v>
      </c>
      <c r="H290" s="12" t="s">
        <v>345</v>
      </c>
      <c r="I290" s="12" t="str">
        <f aca="false">IF(G290="","",IF(COUNTIF(Registro!$G$5:$G$804,G290)&gt;0,"SI","NO"))</f>
        <v>NO</v>
      </c>
    </row>
    <row r="291" customFormat="false" ht="15" hidden="false" customHeight="false" outlineLevel="0" collapsed="false">
      <c r="A291" s="33" t="n">
        <v>44342</v>
      </c>
      <c r="B291" s="12" t="str">
        <f aca="false">TEXT(A291,"yyyy-mm")</f>
        <v>2021-05</v>
      </c>
      <c r="C291" s="12" t="s">
        <v>915</v>
      </c>
      <c r="D291" s="12" t="s">
        <v>657</v>
      </c>
      <c r="E291" s="12" t="s">
        <v>1274</v>
      </c>
      <c r="F291" s="12" t="s">
        <v>1170</v>
      </c>
      <c r="G291" s="12" t="s">
        <v>1275</v>
      </c>
      <c r="H291" s="12" t="s">
        <v>345</v>
      </c>
      <c r="I291" s="12" t="str">
        <f aca="false">IF(G291="","",IF(COUNTIF(Registro!$G$5:$G$804,G291)&gt;0,"SI","NO"))</f>
        <v>NO</v>
      </c>
    </row>
    <row r="292" customFormat="false" ht="15" hidden="false" customHeight="false" outlineLevel="0" collapsed="false">
      <c r="A292" s="33" t="n">
        <v>44330</v>
      </c>
      <c r="B292" s="12" t="str">
        <f aca="false">TEXT(A292,"yyyy-mm")</f>
        <v>2021-05</v>
      </c>
      <c r="C292" s="12" t="s">
        <v>915</v>
      </c>
      <c r="D292" s="12" t="s">
        <v>1276</v>
      </c>
      <c r="E292" s="12" t="s">
        <v>1277</v>
      </c>
      <c r="F292" s="12" t="s">
        <v>1278</v>
      </c>
      <c r="G292" s="12" t="s">
        <v>1279</v>
      </c>
      <c r="H292" s="12" t="s">
        <v>345</v>
      </c>
      <c r="I292" s="12" t="str">
        <f aca="false">IF(G292="","",IF(COUNTIF(Registro!$G$5:$G$804,G292)&gt;0,"SI","NO"))</f>
        <v>NO</v>
      </c>
    </row>
    <row r="293" customFormat="false" ht="15" hidden="false" customHeight="false" outlineLevel="0" collapsed="false">
      <c r="A293" s="33" t="n">
        <v>44316</v>
      </c>
      <c r="B293" s="12" t="str">
        <f aca="false">TEXT(A293,"yyyy-mm")</f>
        <v>2021-04</v>
      </c>
      <c r="C293" s="12" t="s">
        <v>915</v>
      </c>
      <c r="D293" s="12" t="s">
        <v>1280</v>
      </c>
      <c r="E293" s="12" t="s">
        <v>1281</v>
      </c>
      <c r="F293" s="12" t="s">
        <v>1282</v>
      </c>
      <c r="G293" s="12" t="s">
        <v>1283</v>
      </c>
      <c r="H293" s="12" t="s">
        <v>345</v>
      </c>
      <c r="I293" s="12" t="str">
        <f aca="false">IF(G293="","",IF(COUNTIF(Registro!$G$5:$G$804,G293)&gt;0,"SI","NO"))</f>
        <v>NO</v>
      </c>
    </row>
  </sheetData>
  <autoFilter ref="A4:I293"/>
  <conditionalFormatting sqref="I5:I293">
    <cfRule type="cellIs" priority="2" operator="equal" aboveAverage="0" equalAverage="0" bottom="0" percent="0" rank="0" text="" dxfId="5">
      <formula>"NO"</formula>
    </cfRule>
    <cfRule type="cellIs" priority="3" operator="equal" aboveAverage="0" equalAverage="0" bottom="0" percent="0" rank="0" text="" dxfId="6">
      <formula>"SI"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1284</v>
      </c>
    </row>
    <row r="2" customFormat="false" ht="15" hidden="false" customHeight="false" outlineLevel="0" collapsed="false">
      <c r="A2" s="2" t="s">
        <v>1285</v>
      </c>
    </row>
    <row r="4" customFormat="false" ht="35.05" hidden="false" customHeight="false" outlineLevel="0" collapsed="false">
      <c r="A4" s="19" t="s">
        <v>1286</v>
      </c>
      <c r="B4" s="19" t="s">
        <v>1287</v>
      </c>
      <c r="C4" s="19" t="s">
        <v>1288</v>
      </c>
      <c r="D4" s="19" t="s">
        <v>1289</v>
      </c>
      <c r="E4" s="19" t="s">
        <v>1290</v>
      </c>
      <c r="F4" s="19" t="s">
        <v>71</v>
      </c>
      <c r="G4" s="19" t="s">
        <v>1291</v>
      </c>
    </row>
    <row r="5" customFormat="false" ht="15" hidden="false" customHeight="false" outlineLevel="0" collapsed="false">
      <c r="A5" s="12" t="s">
        <v>1292</v>
      </c>
      <c r="B5" s="24" t="n">
        <v>772916.86</v>
      </c>
      <c r="C5" s="24" t="n">
        <v>929156.23</v>
      </c>
      <c r="D5" s="24" t="n">
        <v>792167.46</v>
      </c>
      <c r="E5" s="13" t="n">
        <f aca="false">IFERROR(D5/C5-1,"")</f>
        <v>-0.147433516105252</v>
      </c>
      <c r="F5" s="12" t="s">
        <v>72</v>
      </c>
      <c r="G5" s="12" t="n">
        <f aca="false">COUNTIFS(Registro!$J$5:$J$804,F5,Registro!$A$5:$A$804,"&gt;="&amp;DATE(2026,1,1))</f>
        <v>28</v>
      </c>
    </row>
    <row r="6" customFormat="false" ht="15" hidden="false" customHeight="false" outlineLevel="0" collapsed="false">
      <c r="A6" s="12" t="s">
        <v>1293</v>
      </c>
      <c r="B6" s="24" t="n">
        <v>58293.86</v>
      </c>
      <c r="C6" s="24" t="n">
        <v>57215.81</v>
      </c>
      <c r="D6" s="24" t="n">
        <v>44209.63</v>
      </c>
      <c r="E6" s="13" t="n">
        <f aca="false">IFERROR(D6/C6-1,"")</f>
        <v>-0.227317938870393</v>
      </c>
      <c r="F6" s="12" t="s">
        <v>72</v>
      </c>
      <c r="G6" s="12" t="n">
        <f aca="false">COUNTIFS(Registro!$J$5:$J$804,F6,Registro!$A$5:$A$804,"&gt;="&amp;DATE(2026,1,1))</f>
        <v>28</v>
      </c>
    </row>
    <row r="7" customFormat="false" ht="15" hidden="false" customHeight="false" outlineLevel="0" collapsed="false">
      <c r="A7" s="12" t="s">
        <v>1294</v>
      </c>
      <c r="B7" s="24" t="n">
        <v>451265.44</v>
      </c>
      <c r="C7" s="24" t="n">
        <v>281562.02</v>
      </c>
      <c r="D7" s="24" t="n">
        <v>332478.44</v>
      </c>
      <c r="E7" s="13" t="n">
        <f aca="false">IFERROR(D7/C7-1,"")</f>
        <v>0.180835540247935</v>
      </c>
      <c r="F7" s="12" t="s">
        <v>73</v>
      </c>
      <c r="G7" s="12" t="n">
        <f aca="false">COUNTIFS(Registro!$J$5:$J$804,F7,Registro!$A$5:$A$804,"&gt;="&amp;DATE(2026,1,1))</f>
        <v>38</v>
      </c>
    </row>
    <row r="8" customFormat="false" ht="15" hidden="false" customHeight="false" outlineLevel="0" collapsed="false">
      <c r="A8" s="12" t="s">
        <v>1295</v>
      </c>
      <c r="B8" s="24" t="n">
        <v>315159.57</v>
      </c>
      <c r="C8" s="24" t="n">
        <v>242199.58</v>
      </c>
      <c r="D8" s="24" t="n">
        <v>213118.59</v>
      </c>
      <c r="E8" s="13" t="n">
        <f aca="false">IFERROR(D8/C8-1,"")</f>
        <v>-0.120070356851981</v>
      </c>
      <c r="F8" s="12" t="s">
        <v>73</v>
      </c>
      <c r="G8" s="12" t="n">
        <f aca="false">COUNTIFS(Registro!$J$5:$J$804,F8,Registro!$A$5:$A$804,"&gt;="&amp;DATE(2026,1,1))</f>
        <v>38</v>
      </c>
    </row>
    <row r="9" customFormat="false" ht="15" hidden="false" customHeight="false" outlineLevel="0" collapsed="false">
      <c r="A9" s="12" t="s">
        <v>1296</v>
      </c>
      <c r="B9" s="24" t="n">
        <v>315000.33</v>
      </c>
      <c r="C9" s="24" t="n">
        <v>225097.09</v>
      </c>
      <c r="D9" s="24" t="n">
        <v>207869.67</v>
      </c>
      <c r="E9" s="13" t="n">
        <f aca="false">IFERROR(D9/C9-1,"")</f>
        <v>-0.0765332861477684</v>
      </c>
      <c r="F9" s="12" t="s">
        <v>73</v>
      </c>
      <c r="G9" s="12" t="n">
        <f aca="false">COUNTIFS(Registro!$J$5:$J$804,F9,Registro!$A$5:$A$804,"&gt;="&amp;DATE(2026,1,1))</f>
        <v>38</v>
      </c>
    </row>
    <row r="10" customFormat="false" ht="15" hidden="false" customHeight="false" outlineLevel="0" collapsed="false">
      <c r="A10" s="12" t="s">
        <v>1297</v>
      </c>
      <c r="B10" s="24" t="n">
        <v>319556.84</v>
      </c>
      <c r="C10" s="24" t="n">
        <v>43442.59</v>
      </c>
      <c r="D10" s="24" t="n">
        <v>59058.42</v>
      </c>
      <c r="E10" s="13" t="n">
        <f aca="false">IFERROR(D10/C10-1,"")</f>
        <v>0.359459000948148</v>
      </c>
      <c r="F10" s="12" t="s">
        <v>73</v>
      </c>
      <c r="G10" s="12" t="n">
        <f aca="false">COUNTIFS(Registro!$J$5:$J$804,F10,Registro!$A$5:$A$804,"&gt;="&amp;DATE(2026,1,1))</f>
        <v>38</v>
      </c>
    </row>
    <row r="11" customFormat="false" ht="15" hidden="false" customHeight="false" outlineLevel="0" collapsed="false">
      <c r="A11" s="12" t="s">
        <v>1298</v>
      </c>
      <c r="B11" s="24" t="n">
        <v>22135</v>
      </c>
      <c r="C11" s="24" t="n">
        <v>26370</v>
      </c>
      <c r="D11" s="24" t="n">
        <v>31140</v>
      </c>
      <c r="E11" s="13" t="n">
        <f aca="false">IFERROR(D11/C11-1,"")</f>
        <v>0.180887372013652</v>
      </c>
      <c r="F11" s="12" t="s">
        <v>79</v>
      </c>
      <c r="G11" s="12" t="n">
        <f aca="false">COUNTIFS(Registro!$J$5:$J$804,F11,Registro!$A$5:$A$804,"&gt;="&amp;DATE(2026,1,1))</f>
        <v>31</v>
      </c>
    </row>
    <row r="12" customFormat="false" ht="15" hidden="false" customHeight="false" outlineLevel="0" collapsed="false">
      <c r="A12" s="12" t="s">
        <v>1299</v>
      </c>
      <c r="B12" s="24" t="n">
        <v>383945.8</v>
      </c>
      <c r="C12" s="24" t="n">
        <v>342170.88</v>
      </c>
      <c r="D12" s="24" t="n">
        <v>228926.1</v>
      </c>
      <c r="E12" s="13" t="n">
        <f aca="false">IFERROR(D12/C12-1,"")</f>
        <v>-0.330959723983525</v>
      </c>
      <c r="F12" s="12" t="s">
        <v>74</v>
      </c>
      <c r="G12" s="12" t="n">
        <f aca="false">COUNTIFS(Registro!$J$5:$J$804,F12,Registro!$A$5:$A$804,"&gt;="&amp;DATE(2026,1,1))</f>
        <v>38</v>
      </c>
    </row>
    <row r="13" customFormat="false" ht="15" hidden="false" customHeight="false" outlineLevel="0" collapsed="false">
      <c r="A13" s="12" t="s">
        <v>1300</v>
      </c>
      <c r="B13" s="24" t="n">
        <v>8540</v>
      </c>
      <c r="C13" s="24" t="n">
        <v>1280</v>
      </c>
      <c r="D13" s="24" t="n">
        <v>48202.8</v>
      </c>
      <c r="E13" s="13" t="n">
        <f aca="false">IFERROR(D13/C13-1,"")</f>
        <v>36.6584375</v>
      </c>
      <c r="F13" s="12" t="s">
        <v>74</v>
      </c>
      <c r="G13" s="12" t="n">
        <f aca="false">COUNTIFS(Registro!$J$5:$J$804,F13,Registro!$A$5:$A$804,"&gt;="&amp;DATE(2026,1,1))</f>
        <v>38</v>
      </c>
    </row>
    <row r="14" customFormat="false" ht="15" hidden="false" customHeight="false" outlineLevel="0" collapsed="false">
      <c r="A14" s="12" t="s">
        <v>1301</v>
      </c>
      <c r="B14" s="24" t="n">
        <v>11180</v>
      </c>
      <c r="C14" s="24" t="n">
        <v>7650</v>
      </c>
      <c r="D14" s="24" t="n">
        <v>1460</v>
      </c>
      <c r="E14" s="13" t="n">
        <f aca="false">IFERROR(D14/C14-1,"")</f>
        <v>-0.809150326797386</v>
      </c>
      <c r="F14" s="12" t="s">
        <v>74</v>
      </c>
      <c r="G14" s="12" t="n">
        <f aca="false">COUNTIFS(Registro!$J$5:$J$804,F14,Registro!$A$5:$A$804,"&gt;="&amp;DATE(2026,1,1))</f>
        <v>38</v>
      </c>
    </row>
    <row r="15" customFormat="false" ht="15" hidden="false" customHeight="false" outlineLevel="0" collapsed="false">
      <c r="A15" s="12" t="s">
        <v>1302</v>
      </c>
      <c r="B15" s="24" t="n">
        <v>39634</v>
      </c>
      <c r="C15" s="24" t="n">
        <v>295400.25</v>
      </c>
      <c r="D15" s="24" t="n">
        <v>94274.44</v>
      </c>
      <c r="E15" s="13" t="n">
        <f aca="false">IFERROR(D15/C15-1,"")</f>
        <v>-0.680858631636229</v>
      </c>
      <c r="F15" s="12" t="s">
        <v>74</v>
      </c>
      <c r="G15" s="12" t="n">
        <f aca="false">COUNTIFS(Registro!$J$5:$J$804,F15,Registro!$A$5:$A$804,"&gt;="&amp;DATE(2026,1,1))</f>
        <v>38</v>
      </c>
    </row>
    <row r="16" customFormat="false" ht="15" hidden="false" customHeight="false" outlineLevel="0" collapsed="false">
      <c r="A16" s="12" t="s">
        <v>1303</v>
      </c>
      <c r="B16" s="24" t="n">
        <v>139478.33</v>
      </c>
      <c r="C16" s="24" t="n">
        <v>126183.27</v>
      </c>
      <c r="D16" s="24" t="n">
        <v>140242.37</v>
      </c>
      <c r="E16" s="13" t="n">
        <f aca="false">IFERROR(D16/C16-1,"")</f>
        <v>0.111418098453147</v>
      </c>
      <c r="F16" s="12" t="s">
        <v>75</v>
      </c>
      <c r="G16" s="12" t="n">
        <f aca="false">COUNTIFS(Registro!$J$5:$J$804,F16,Registro!$A$5:$A$804,"&gt;="&amp;DATE(2026,1,1))</f>
        <v>30</v>
      </c>
    </row>
    <row r="17" customFormat="false" ht="15" hidden="false" customHeight="false" outlineLevel="0" collapsed="false">
      <c r="A17" s="12" t="s">
        <v>1304</v>
      </c>
      <c r="B17" s="24" t="n">
        <v>26220.75</v>
      </c>
      <c r="C17" s="24" t="n">
        <v>15406.5</v>
      </c>
      <c r="D17" s="24" t="n">
        <v>46456.56</v>
      </c>
      <c r="E17" s="13" t="n">
        <f aca="false">IFERROR(D17/C17-1,"")</f>
        <v>2.01538701197546</v>
      </c>
      <c r="F17" s="12" t="s">
        <v>79</v>
      </c>
      <c r="G17" s="12" t="n">
        <f aca="false">COUNTIFS(Registro!$J$5:$J$804,F17,Registro!$A$5:$A$804,"&gt;="&amp;DATE(2026,1,1))</f>
        <v>31</v>
      </c>
    </row>
    <row r="18" customFormat="false" ht="15" hidden="false" customHeight="false" outlineLevel="0" collapsed="false">
      <c r="A18" s="12" t="s">
        <v>1305</v>
      </c>
      <c r="B18" s="24" t="n">
        <v>7635</v>
      </c>
      <c r="C18" s="24" t="n">
        <v>10551.9</v>
      </c>
      <c r="D18" s="24" t="n">
        <v>9800</v>
      </c>
      <c r="E18" s="13" t="n">
        <f aca="false">IFERROR(D18/C18-1,"")</f>
        <v>-0.0712573091102076</v>
      </c>
      <c r="F18" s="12" t="s">
        <v>79</v>
      </c>
      <c r="G18" s="12" t="n">
        <f aca="false">COUNTIFS(Registro!$J$5:$J$804,F18,Registro!$A$5:$A$804,"&gt;="&amp;DATE(2026,1,1))</f>
        <v>31</v>
      </c>
    </row>
    <row r="19" customFormat="false" ht="15" hidden="false" customHeight="false" outlineLevel="0" collapsed="false">
      <c r="A19" s="12" t="s">
        <v>1306</v>
      </c>
      <c r="B19" s="24" t="n">
        <v>6290</v>
      </c>
      <c r="C19" s="24" t="n">
        <v>5700</v>
      </c>
      <c r="D19" s="24" t="n">
        <v>13540</v>
      </c>
      <c r="E19" s="13" t="n">
        <f aca="false">IFERROR(D19/C19-1,"")</f>
        <v>1.37543859649123</v>
      </c>
      <c r="F19" s="12" t="s">
        <v>76</v>
      </c>
      <c r="G19" s="12" t="n">
        <f aca="false">COUNTIFS(Registro!$J$5:$J$804,F19,Registro!$A$5:$A$804,"&gt;="&amp;DATE(2026,1,1))</f>
        <v>14</v>
      </c>
    </row>
    <row r="20" customFormat="false" ht="15" hidden="false" customHeight="false" outlineLevel="0" collapsed="false">
      <c r="A20" s="12" t="s">
        <v>1307</v>
      </c>
      <c r="B20" s="24" t="n">
        <v>0</v>
      </c>
      <c r="C20" s="24" t="n">
        <v>13190</v>
      </c>
      <c r="D20" s="24" t="n">
        <v>0</v>
      </c>
      <c r="E20" s="13" t="n">
        <f aca="false">IFERROR(D20/C20-1,"")</f>
        <v>-1</v>
      </c>
      <c r="F20" s="12" t="s">
        <v>76</v>
      </c>
      <c r="G20" s="12" t="n">
        <f aca="false">COUNTIFS(Registro!$J$5:$J$804,F20,Registro!$A$5:$A$804,"&gt;="&amp;DATE(2026,1,1))</f>
        <v>14</v>
      </c>
    </row>
    <row r="21" customFormat="false" ht="15" hidden="false" customHeight="false" outlineLevel="0" collapsed="false">
      <c r="A21" s="12" t="s">
        <v>86</v>
      </c>
      <c r="B21" s="24" t="n">
        <v>51093.4</v>
      </c>
      <c r="C21" s="24" t="n">
        <v>34597.36</v>
      </c>
      <c r="D21" s="24" t="n">
        <v>1450</v>
      </c>
      <c r="E21" s="13" t="n">
        <f aca="false">IFERROR(D21/C21-1,"")</f>
        <v>-0.958089287737562</v>
      </c>
      <c r="F21" s="12" t="s">
        <v>72</v>
      </c>
      <c r="G21" s="12" t="n">
        <f aca="false">COUNTIFS(Registro!$J$5:$J$804,F21,Registro!$A$5:$A$804,"&gt;="&amp;DATE(2026,1,1))</f>
        <v>28</v>
      </c>
    </row>
    <row r="22" customFormat="false" ht="15" hidden="false" customHeight="false" outlineLevel="0" collapsed="false">
      <c r="A22" s="12" t="s">
        <v>1308</v>
      </c>
      <c r="B22" s="24" t="n">
        <v>102304.28</v>
      </c>
      <c r="C22" s="24" t="n">
        <v>64663.71</v>
      </c>
      <c r="D22" s="24" t="n">
        <v>76329.29</v>
      </c>
      <c r="E22" s="13" t="n">
        <f aca="false">IFERROR(D22/C22-1,"")</f>
        <v>0.180403815370321</v>
      </c>
      <c r="F22" s="12"/>
      <c r="G22" s="12"/>
    </row>
    <row r="23" customFormat="false" ht="15" hidden="false" customHeight="false" outlineLevel="0" collapsed="false">
      <c r="A23" s="29" t="s">
        <v>1309</v>
      </c>
      <c r="B23" s="27" t="n">
        <v>3030649.46</v>
      </c>
      <c r="C23" s="27" t="n">
        <v>2721837.19</v>
      </c>
      <c r="D23" s="27" t="n">
        <v>2340723.77</v>
      </c>
      <c r="E23" s="37" t="n">
        <f aca="false">D23/C23-1</f>
        <v>-0.14002065274154</v>
      </c>
    </row>
    <row r="24" customFormat="false" ht="15" hidden="false" customHeight="false" outlineLevel="0" collapsed="false">
      <c r="A24" s="28" t="s">
        <v>1310</v>
      </c>
      <c r="B24" s="27" t="n">
        <f aca="false">SUM(B5:B22)</f>
        <v>3030649.46</v>
      </c>
      <c r="C24" s="27" t="n">
        <f aca="false">SUM(C5:C22)</f>
        <v>2721837.19</v>
      </c>
      <c r="D24" s="27" t="n">
        <f aca="false">SUM(D5:D22)</f>
        <v>2340723.77</v>
      </c>
    </row>
    <row r="25" customFormat="false" ht="15" hidden="false" customHeight="false" outlineLevel="0" collapsed="false">
      <c r="A25" s="29" t="s">
        <v>1311</v>
      </c>
      <c r="B25" s="27" t="n">
        <v>56275.46</v>
      </c>
      <c r="C25" s="27" t="n">
        <v>86005</v>
      </c>
      <c r="D25" s="27" t="n">
        <v>2075.89</v>
      </c>
    </row>
    <row r="28" customFormat="false" ht="15" hidden="false" customHeight="false" outlineLevel="0" collapsed="false">
      <c r="A28" s="10" t="s">
        <v>1312</v>
      </c>
    </row>
    <row r="29" customFormat="false" ht="35.05" hidden="false" customHeight="false" outlineLevel="0" collapsed="false">
      <c r="A29" s="11" t="s">
        <v>71</v>
      </c>
      <c r="B29" s="11" t="s">
        <v>1313</v>
      </c>
      <c r="C29" s="11" t="s">
        <v>1314</v>
      </c>
      <c r="D29" s="11" t="s">
        <v>137</v>
      </c>
    </row>
    <row r="30" customFormat="false" ht="15" hidden="false" customHeight="false" outlineLevel="0" collapsed="false">
      <c r="A30" s="12" t="s">
        <v>72</v>
      </c>
      <c r="B30" s="24" t="n">
        <f aca="false">SUMIF($F$5:$F$22,A30,$D$5:$D$22)</f>
        <v>837827.09</v>
      </c>
      <c r="C30" s="12" t="n">
        <f aca="false">COUNTIFS(Registro!$J$5:$J$804,A30,Registro!$A$5:$A$804,"&gt;="&amp;DATE(2026,1,1))</f>
        <v>28</v>
      </c>
      <c r="D30" s="12" t="n">
        <f aca="false">COUNTIFS(Registro!$J$5:$J$804,A30,Registro!$B$5:$B$804,"Italiaonline",Registro!$A$5:$A$804,"&gt;="&amp;DATE(2026,1,1))+COUNTIFS(Registro!$J$5:$J$804,A30,Registro!$B$5:$B$804,"PgCasa (Italiaonline)",Registro!$A$5:$A$804,"&gt;="&amp;DATE(2026,1,1))</f>
        <v>10</v>
      </c>
    </row>
    <row r="31" customFormat="false" ht="15" hidden="false" customHeight="false" outlineLevel="0" collapsed="false">
      <c r="A31" s="12" t="s">
        <v>73</v>
      </c>
      <c r="B31" s="24" t="n">
        <f aca="false">SUMIF($F$5:$F$22,A31,$D$5:$D$22)</f>
        <v>812525.12</v>
      </c>
      <c r="C31" s="12" t="n">
        <f aca="false">COUNTIFS(Registro!$J$5:$J$804,A31,Registro!$A$5:$A$804,"&gt;="&amp;DATE(2026,1,1))</f>
        <v>38</v>
      </c>
      <c r="D31" s="12" t="n">
        <f aca="false">COUNTIFS(Registro!$J$5:$J$804,A31,Registro!$B$5:$B$804,"Italiaonline",Registro!$A$5:$A$804,"&gt;="&amp;DATE(2026,1,1))+COUNTIFS(Registro!$J$5:$J$804,A31,Registro!$B$5:$B$804,"PgCasa (Italiaonline)",Registro!$A$5:$A$804,"&gt;="&amp;DATE(2026,1,1))</f>
        <v>8</v>
      </c>
    </row>
    <row r="32" customFormat="false" ht="15" hidden="false" customHeight="false" outlineLevel="0" collapsed="false">
      <c r="A32" s="12" t="s">
        <v>74</v>
      </c>
      <c r="B32" s="24" t="n">
        <f aca="false">SUMIF($F$5:$F$22,A32,$D$5:$D$22)</f>
        <v>372863.34</v>
      </c>
      <c r="C32" s="12" t="n">
        <f aca="false">COUNTIFS(Registro!$J$5:$J$804,A32,Registro!$A$5:$A$804,"&gt;="&amp;DATE(2026,1,1))</f>
        <v>38</v>
      </c>
      <c r="D32" s="12" t="n">
        <f aca="false">COUNTIFS(Registro!$J$5:$J$804,A32,Registro!$B$5:$B$804,"Italiaonline",Registro!$A$5:$A$804,"&gt;="&amp;DATE(2026,1,1))+COUNTIFS(Registro!$J$5:$J$804,A32,Registro!$B$5:$B$804,"PgCasa (Italiaonline)",Registro!$A$5:$A$804,"&gt;="&amp;DATE(2026,1,1))</f>
        <v>10</v>
      </c>
    </row>
    <row r="33" customFormat="false" ht="15" hidden="false" customHeight="false" outlineLevel="0" collapsed="false">
      <c r="A33" s="12" t="s">
        <v>75</v>
      </c>
      <c r="B33" s="24" t="n">
        <f aca="false">SUMIF($F$5:$F$22,A33,$D$5:$D$22)</f>
        <v>140242.37</v>
      </c>
      <c r="C33" s="12" t="n">
        <f aca="false">COUNTIFS(Registro!$J$5:$J$804,A33,Registro!$A$5:$A$804,"&gt;="&amp;DATE(2026,1,1))</f>
        <v>30</v>
      </c>
      <c r="D33" s="12" t="n">
        <f aca="false">COUNTIFS(Registro!$J$5:$J$804,A33,Registro!$B$5:$B$804,"Italiaonline",Registro!$A$5:$A$804,"&gt;="&amp;DATE(2026,1,1))+COUNTIFS(Registro!$J$5:$J$804,A33,Registro!$B$5:$B$804,"PgCasa (Italiaonline)",Registro!$A$5:$A$804,"&gt;="&amp;DATE(2026,1,1))</f>
        <v>9</v>
      </c>
    </row>
    <row r="34" customFormat="false" ht="15" hidden="false" customHeight="false" outlineLevel="0" collapsed="false">
      <c r="A34" s="12" t="s">
        <v>76</v>
      </c>
      <c r="B34" s="24" t="n">
        <f aca="false">SUMIF($F$5:$F$22,A34,$D$5:$D$22)</f>
        <v>13540</v>
      </c>
      <c r="C34" s="12" t="n">
        <f aca="false">COUNTIFS(Registro!$J$5:$J$804,A34,Registro!$A$5:$A$804,"&gt;="&amp;DATE(2026,1,1))</f>
        <v>14</v>
      </c>
      <c r="D34" s="12" t="n">
        <f aca="false">COUNTIFS(Registro!$J$5:$J$804,A34,Registro!$B$5:$B$804,"Italiaonline",Registro!$A$5:$A$804,"&gt;="&amp;DATE(2026,1,1))+COUNTIFS(Registro!$J$5:$J$804,A34,Registro!$B$5:$B$804,"PgCasa (Italiaonline)",Registro!$A$5:$A$804,"&gt;="&amp;DATE(2026,1,1))</f>
        <v>7</v>
      </c>
    </row>
    <row r="35" customFormat="false" ht="15" hidden="false" customHeight="false" outlineLevel="0" collapsed="false">
      <c r="A35" s="12" t="s">
        <v>79</v>
      </c>
      <c r="B35" s="24" t="n">
        <f aca="false">SUMIF($F$5:$F$22,A35,$D$5:$D$22)</f>
        <v>87396.56</v>
      </c>
      <c r="C35" s="12" t="n">
        <f aca="false">COUNTIFS(Registro!$J$5:$J$804,A35,Registro!$A$5:$A$804,"&gt;="&amp;DATE(2026,1,1))</f>
        <v>31</v>
      </c>
      <c r="D35" s="12" t="n">
        <f aca="false">COUNTIFS(Registro!$J$5:$J$804,A35,Registro!$B$5:$B$804,"Italiaonline",Registro!$A$5:$A$804,"&gt;="&amp;DATE(2026,1,1))+COUNTIFS(Registro!$J$5:$J$804,A35,Registro!$B$5:$B$804,"PgCasa (Italiaonline)",Registro!$A$5:$A$804,"&gt;="&amp;DATE(2026,1,1))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6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34"/>
    <col collapsed="false" customWidth="true" hidden="false" outlineLevel="0" max="13" min="13" style="0" width="15"/>
    <col collapsed="false" customWidth="true" hidden="false" outlineLevel="0" max="14" min="14" style="0" width="28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40"/>
    <col collapsed="false" customWidth="true" hidden="false" outlineLevel="0" max="20" min="20" style="0" width="24"/>
  </cols>
  <sheetData>
    <row r="1" customFormat="false" ht="17.35" hidden="false" customHeight="false" outlineLevel="0" collapsed="false">
      <c r="A1" s="1" t="s">
        <v>1315</v>
      </c>
    </row>
    <row r="2" customFormat="false" ht="15" hidden="false" customHeight="false" outlineLevel="0" collapsed="false">
      <c r="A2" s="2" t="s">
        <v>1316</v>
      </c>
    </row>
    <row r="4" customFormat="false" ht="35.05" hidden="false" customHeight="false" outlineLevel="0" collapsed="false">
      <c r="A4" s="19" t="s">
        <v>329</v>
      </c>
      <c r="B4" s="19" t="s">
        <v>50</v>
      </c>
      <c r="C4" s="19" t="s">
        <v>1317</v>
      </c>
      <c r="D4" s="19" t="s">
        <v>1318</v>
      </c>
      <c r="E4" s="19" t="s">
        <v>115</v>
      </c>
      <c r="F4" s="19" t="s">
        <v>1319</v>
      </c>
      <c r="G4" s="19" t="s">
        <v>334</v>
      </c>
      <c r="H4" s="19" t="s">
        <v>1320</v>
      </c>
      <c r="I4" s="19" t="s">
        <v>1321</v>
      </c>
      <c r="J4" s="19" t="s">
        <v>1322</v>
      </c>
      <c r="K4" s="19" t="s">
        <v>1323</v>
      </c>
      <c r="L4" s="19" t="s">
        <v>1324</v>
      </c>
      <c r="M4" s="19" t="s">
        <v>1325</v>
      </c>
      <c r="N4" s="19" t="s">
        <v>1326</v>
      </c>
      <c r="O4" s="19" t="s">
        <v>1327</v>
      </c>
      <c r="P4" s="19" t="s">
        <v>1328</v>
      </c>
      <c r="Q4" s="19" t="s">
        <v>1329</v>
      </c>
      <c r="R4" s="19" t="s">
        <v>1330</v>
      </c>
      <c r="S4" s="19" t="s">
        <v>176</v>
      </c>
      <c r="T4" s="11" t="s">
        <v>1331</v>
      </c>
    </row>
    <row r="5" customFormat="false" ht="15" hidden="false" customHeight="false" outlineLevel="0" collapsed="false">
      <c r="A5" s="38" t="n">
        <v>44823</v>
      </c>
      <c r="B5" s="39" t="s">
        <v>58</v>
      </c>
      <c r="C5" s="39" t="s">
        <v>1332</v>
      </c>
      <c r="D5" s="39" t="s">
        <v>1333</v>
      </c>
      <c r="E5" s="39" t="s">
        <v>116</v>
      </c>
      <c r="F5" s="39" t="s">
        <v>1334</v>
      </c>
      <c r="G5" s="39" t="s">
        <v>1197</v>
      </c>
      <c r="H5" s="39" t="s">
        <v>266</v>
      </c>
      <c r="I5" s="39" t="s">
        <v>107</v>
      </c>
      <c r="J5" s="39" t="s">
        <v>75</v>
      </c>
      <c r="K5" s="39" t="s">
        <v>96</v>
      </c>
      <c r="L5" s="39" t="s">
        <v>1335</v>
      </c>
      <c r="M5" s="39" t="s">
        <v>1336</v>
      </c>
      <c r="N5" s="39"/>
      <c r="O5" s="40"/>
      <c r="P5" s="40"/>
      <c r="Q5" s="40" t="n">
        <v>5</v>
      </c>
      <c r="R5" s="39"/>
      <c r="S5" s="39" t="s">
        <v>1337</v>
      </c>
      <c r="T5" s="26" t="s">
        <v>264</v>
      </c>
    </row>
    <row r="6" customFormat="false" ht="15" hidden="false" customHeight="false" outlineLevel="0" collapsed="false">
      <c r="A6" s="38" t="n">
        <v>45187</v>
      </c>
      <c r="B6" s="39" t="s">
        <v>58</v>
      </c>
      <c r="C6" s="39" t="s">
        <v>1332</v>
      </c>
      <c r="D6" s="39" t="s">
        <v>1338</v>
      </c>
      <c r="E6" s="39" t="s">
        <v>116</v>
      </c>
      <c r="F6" s="39" t="s">
        <v>1339</v>
      </c>
      <c r="G6" s="39" t="s">
        <v>1122</v>
      </c>
      <c r="H6" s="39" t="s">
        <v>1340</v>
      </c>
      <c r="I6" s="39" t="s">
        <v>107</v>
      </c>
      <c r="J6" s="39" t="s">
        <v>72</v>
      </c>
      <c r="K6" s="39" t="s">
        <v>82</v>
      </c>
      <c r="L6" s="39" t="s">
        <v>1341</v>
      </c>
      <c r="M6" s="39" t="s">
        <v>1336</v>
      </c>
      <c r="N6" s="39"/>
      <c r="O6" s="40"/>
      <c r="P6" s="40"/>
      <c r="Q6" s="40" t="n">
        <v>5</v>
      </c>
      <c r="R6" s="39"/>
      <c r="S6" s="39" t="s">
        <v>1337</v>
      </c>
      <c r="T6" s="26" t="s">
        <v>308</v>
      </c>
    </row>
    <row r="7" customFormat="false" ht="15" hidden="false" customHeight="false" outlineLevel="0" collapsed="false">
      <c r="A7" s="38" t="n">
        <v>45187</v>
      </c>
      <c r="B7" s="39" t="s">
        <v>58</v>
      </c>
      <c r="C7" s="39" t="s">
        <v>1332</v>
      </c>
      <c r="D7" s="39" t="s">
        <v>1342</v>
      </c>
      <c r="E7" s="39" t="s">
        <v>116</v>
      </c>
      <c r="F7" s="39" t="s">
        <v>1343</v>
      </c>
      <c r="G7" s="39" t="s">
        <v>1119</v>
      </c>
      <c r="H7" s="39" t="s">
        <v>1344</v>
      </c>
      <c r="I7" s="39" t="s">
        <v>108</v>
      </c>
      <c r="J7" s="39" t="s">
        <v>72</v>
      </c>
      <c r="K7" s="39" t="s">
        <v>82</v>
      </c>
      <c r="L7" s="39" t="s">
        <v>1345</v>
      </c>
      <c r="M7" s="39" t="s">
        <v>1336</v>
      </c>
      <c r="N7" s="39"/>
      <c r="O7" s="40"/>
      <c r="P7" s="40"/>
      <c r="Q7" s="40" t="n">
        <v>5</v>
      </c>
      <c r="R7" s="39"/>
      <c r="S7" s="39" t="s">
        <v>1337</v>
      </c>
      <c r="T7" s="26" t="s">
        <v>308</v>
      </c>
    </row>
    <row r="8" customFormat="false" ht="15" hidden="false" customHeight="false" outlineLevel="0" collapsed="false">
      <c r="A8" s="38" t="n">
        <v>45187</v>
      </c>
      <c r="B8" s="39" t="s">
        <v>58</v>
      </c>
      <c r="C8" s="39" t="s">
        <v>1332</v>
      </c>
      <c r="D8" s="39" t="s">
        <v>1346</v>
      </c>
      <c r="E8" s="39" t="s">
        <v>119</v>
      </c>
      <c r="F8" s="39" t="s">
        <v>1347</v>
      </c>
      <c r="G8" s="39" t="s">
        <v>1125</v>
      </c>
      <c r="H8" s="39" t="s">
        <v>1348</v>
      </c>
      <c r="I8" s="39" t="s">
        <v>107</v>
      </c>
      <c r="J8" s="39" t="s">
        <v>75</v>
      </c>
      <c r="K8" s="39" t="s">
        <v>95</v>
      </c>
      <c r="L8" s="39" t="s">
        <v>1349</v>
      </c>
      <c r="M8" s="39" t="s">
        <v>1336</v>
      </c>
      <c r="N8" s="39"/>
      <c r="O8" s="40"/>
      <c r="P8" s="40"/>
      <c r="Q8" s="40" t="n">
        <v>5</v>
      </c>
      <c r="R8" s="39"/>
      <c r="S8" s="39" t="s">
        <v>1337</v>
      </c>
      <c r="T8" s="26" t="s">
        <v>308</v>
      </c>
    </row>
    <row r="9" customFormat="false" ht="15" hidden="false" customHeight="false" outlineLevel="0" collapsed="false">
      <c r="A9" s="38" t="n">
        <v>45224</v>
      </c>
      <c r="B9" s="39" t="s">
        <v>58</v>
      </c>
      <c r="C9" s="39" t="s">
        <v>1332</v>
      </c>
      <c r="D9" s="39" t="s">
        <v>1350</v>
      </c>
      <c r="E9" s="39" t="s">
        <v>116</v>
      </c>
      <c r="F9" s="39" t="s">
        <v>1351</v>
      </c>
      <c r="G9" s="39" t="s">
        <v>1111</v>
      </c>
      <c r="H9" s="39" t="s">
        <v>1352</v>
      </c>
      <c r="I9" s="39" t="s">
        <v>107</v>
      </c>
      <c r="J9" s="39" t="s">
        <v>75</v>
      </c>
      <c r="K9" s="39" t="s">
        <v>95</v>
      </c>
      <c r="L9" s="39" t="s">
        <v>1353</v>
      </c>
      <c r="M9" s="39" t="s">
        <v>1336</v>
      </c>
      <c r="N9" s="39"/>
      <c r="O9" s="40"/>
      <c r="P9" s="40"/>
      <c r="Q9" s="40" t="n">
        <v>5</v>
      </c>
      <c r="R9" s="39"/>
      <c r="S9" s="39" t="s">
        <v>1337</v>
      </c>
      <c r="T9" s="26" t="s">
        <v>308</v>
      </c>
    </row>
    <row r="10" customFormat="false" ht="15" hidden="false" customHeight="false" outlineLevel="0" collapsed="false">
      <c r="A10" s="38" t="n">
        <v>46029</v>
      </c>
      <c r="B10" s="39" t="s">
        <v>59</v>
      </c>
      <c r="C10" s="39"/>
      <c r="D10" s="39" t="s">
        <v>1354</v>
      </c>
      <c r="E10" s="39" t="s">
        <v>120</v>
      </c>
      <c r="F10" s="39" t="s">
        <v>1355</v>
      </c>
      <c r="G10" s="39" t="s">
        <v>1356</v>
      </c>
      <c r="H10" s="39" t="s">
        <v>1348</v>
      </c>
      <c r="I10" s="39" t="s">
        <v>107</v>
      </c>
      <c r="J10" s="39" t="s">
        <v>76</v>
      </c>
      <c r="K10" s="39" t="s">
        <v>99</v>
      </c>
      <c r="L10" s="39" t="s">
        <v>1357</v>
      </c>
      <c r="M10" s="39" t="s">
        <v>1358</v>
      </c>
      <c r="N10" s="39"/>
      <c r="O10" s="40"/>
      <c r="P10" s="40"/>
      <c r="Q10" s="40"/>
      <c r="R10" s="39" t="s">
        <v>125</v>
      </c>
      <c r="S10" s="39" t="s">
        <v>1359</v>
      </c>
      <c r="T10" s="26" t="s">
        <v>308</v>
      </c>
    </row>
    <row r="11" customFormat="false" ht="15" hidden="false" customHeight="false" outlineLevel="0" collapsed="false">
      <c r="A11" s="38" t="n">
        <v>46030</v>
      </c>
      <c r="B11" s="39" t="s">
        <v>59</v>
      </c>
      <c r="C11" s="39"/>
      <c r="D11" s="39" t="s">
        <v>1360</v>
      </c>
      <c r="E11" s="39" t="s">
        <v>116</v>
      </c>
      <c r="F11" s="39" t="s">
        <v>1361</v>
      </c>
      <c r="G11" s="39" t="s">
        <v>1362</v>
      </c>
      <c r="H11" s="39" t="s">
        <v>1363</v>
      </c>
      <c r="I11" s="39" t="s">
        <v>107</v>
      </c>
      <c r="J11" s="39" t="s">
        <v>76</v>
      </c>
      <c r="K11" s="39" t="s">
        <v>99</v>
      </c>
      <c r="L11" s="39" t="s">
        <v>1357</v>
      </c>
      <c r="M11" s="39" t="s">
        <v>1358</v>
      </c>
      <c r="N11" s="39"/>
      <c r="O11" s="40"/>
      <c r="P11" s="40"/>
      <c r="Q11" s="40"/>
      <c r="R11" s="39" t="s">
        <v>129</v>
      </c>
      <c r="S11" s="39" t="s">
        <v>1364</v>
      </c>
      <c r="T11" s="26" t="s">
        <v>308</v>
      </c>
    </row>
    <row r="12" customFormat="false" ht="15" hidden="false" customHeight="false" outlineLevel="0" collapsed="false">
      <c r="A12" s="38" t="n">
        <v>46030</v>
      </c>
      <c r="B12" s="39" t="s">
        <v>59</v>
      </c>
      <c r="C12" s="39"/>
      <c r="D12" s="39" t="s">
        <v>1365</v>
      </c>
      <c r="E12" s="39" t="s">
        <v>116</v>
      </c>
      <c r="F12" s="39" t="s">
        <v>1366</v>
      </c>
      <c r="G12" s="39" t="s">
        <v>1367</v>
      </c>
      <c r="H12" s="39" t="s">
        <v>1368</v>
      </c>
      <c r="I12" s="39" t="s">
        <v>107</v>
      </c>
      <c r="J12" s="39" t="s">
        <v>74</v>
      </c>
      <c r="K12" s="39" t="s">
        <v>93</v>
      </c>
      <c r="L12" s="39" t="s">
        <v>1369</v>
      </c>
      <c r="M12" s="39" t="s">
        <v>1358</v>
      </c>
      <c r="N12" s="39"/>
      <c r="O12" s="40"/>
      <c r="P12" s="40"/>
      <c r="Q12" s="40"/>
      <c r="R12" s="39" t="s">
        <v>127</v>
      </c>
      <c r="S12" s="39" t="s">
        <v>1370</v>
      </c>
      <c r="T12" s="26" t="s">
        <v>308</v>
      </c>
    </row>
    <row r="13" customFormat="false" ht="15" hidden="false" customHeight="false" outlineLevel="0" collapsed="false">
      <c r="A13" s="38" t="n">
        <v>46030</v>
      </c>
      <c r="B13" s="39" t="s">
        <v>59</v>
      </c>
      <c r="C13" s="39"/>
      <c r="D13" s="39" t="s">
        <v>1371</v>
      </c>
      <c r="E13" s="39" t="s">
        <v>116</v>
      </c>
      <c r="F13" s="39" t="s">
        <v>1372</v>
      </c>
      <c r="G13" s="39" t="s">
        <v>1373</v>
      </c>
      <c r="H13" s="39" t="s">
        <v>1374</v>
      </c>
      <c r="I13" s="39" t="s">
        <v>107</v>
      </c>
      <c r="J13" s="39" t="s">
        <v>76</v>
      </c>
      <c r="K13" s="39" t="s">
        <v>99</v>
      </c>
      <c r="L13" s="39" t="s">
        <v>1357</v>
      </c>
      <c r="M13" s="39" t="s">
        <v>1358</v>
      </c>
      <c r="N13" s="39"/>
      <c r="O13" s="40"/>
      <c r="P13" s="40"/>
      <c r="Q13" s="40"/>
      <c r="R13" s="39" t="s">
        <v>126</v>
      </c>
      <c r="S13" s="39" t="s">
        <v>1364</v>
      </c>
      <c r="T13" s="26" t="s">
        <v>308</v>
      </c>
    </row>
    <row r="14" customFormat="false" ht="15" hidden="false" customHeight="false" outlineLevel="0" collapsed="false">
      <c r="A14" s="38" t="n">
        <v>46033</v>
      </c>
      <c r="B14" s="39" t="s">
        <v>60</v>
      </c>
      <c r="C14" s="39" t="s">
        <v>1375</v>
      </c>
      <c r="D14" s="39" t="s">
        <v>1376</v>
      </c>
      <c r="E14" s="39" t="s">
        <v>118</v>
      </c>
      <c r="F14" s="39" t="s">
        <v>1377</v>
      </c>
      <c r="G14" s="39" t="s">
        <v>1378</v>
      </c>
      <c r="H14" s="39" t="s">
        <v>1379</v>
      </c>
      <c r="I14" s="39" t="s">
        <v>107</v>
      </c>
      <c r="J14" s="39" t="s">
        <v>73</v>
      </c>
      <c r="K14" s="39" t="s">
        <v>87</v>
      </c>
      <c r="L14" s="39" t="s">
        <v>1380</v>
      </c>
      <c r="M14" s="39" t="s">
        <v>1358</v>
      </c>
      <c r="N14" s="39"/>
      <c r="O14" s="40"/>
      <c r="P14" s="40"/>
      <c r="Q14" s="40"/>
      <c r="R14" s="39" t="s">
        <v>126</v>
      </c>
      <c r="S14" s="39" t="s">
        <v>1381</v>
      </c>
      <c r="T14" s="26" t="s">
        <v>308</v>
      </c>
    </row>
    <row r="15" customFormat="false" ht="15" hidden="false" customHeight="false" outlineLevel="0" collapsed="false">
      <c r="A15" s="38" t="n">
        <v>46037</v>
      </c>
      <c r="B15" s="39" t="s">
        <v>59</v>
      </c>
      <c r="C15" s="39"/>
      <c r="D15" s="39" t="s">
        <v>1382</v>
      </c>
      <c r="E15" s="39" t="s">
        <v>116</v>
      </c>
      <c r="F15" s="39" t="s">
        <v>1383</v>
      </c>
      <c r="G15" s="39" t="s">
        <v>1384</v>
      </c>
      <c r="H15" s="39" t="s">
        <v>1385</v>
      </c>
      <c r="I15" s="39" t="s">
        <v>107</v>
      </c>
      <c r="J15" s="39" t="s">
        <v>73</v>
      </c>
      <c r="K15" s="39" t="s">
        <v>87</v>
      </c>
      <c r="L15" s="39" t="s">
        <v>1380</v>
      </c>
      <c r="M15" s="39" t="s">
        <v>1358</v>
      </c>
      <c r="N15" s="39"/>
      <c r="O15" s="40"/>
      <c r="P15" s="40"/>
      <c r="Q15" s="40"/>
      <c r="R15" s="39" t="s">
        <v>126</v>
      </c>
      <c r="S15" s="39" t="s">
        <v>1386</v>
      </c>
      <c r="T15" s="26" t="s">
        <v>308</v>
      </c>
    </row>
    <row r="16" customFormat="false" ht="15" hidden="false" customHeight="false" outlineLevel="0" collapsed="false">
      <c r="A16" s="38" t="n">
        <v>46037</v>
      </c>
      <c r="B16" s="39" t="s">
        <v>59</v>
      </c>
      <c r="C16" s="39"/>
      <c r="D16" s="39" t="s">
        <v>1387</v>
      </c>
      <c r="E16" s="39" t="s">
        <v>116</v>
      </c>
      <c r="F16" s="39" t="s">
        <v>1388</v>
      </c>
      <c r="G16" s="39" t="s">
        <v>1389</v>
      </c>
      <c r="H16" s="39" t="s">
        <v>1390</v>
      </c>
      <c r="I16" s="39" t="s">
        <v>107</v>
      </c>
      <c r="J16" s="39" t="s">
        <v>73</v>
      </c>
      <c r="K16" s="39" t="s">
        <v>87</v>
      </c>
      <c r="L16" s="39" t="s">
        <v>1380</v>
      </c>
      <c r="M16" s="39" t="s">
        <v>1358</v>
      </c>
      <c r="N16" s="39"/>
      <c r="O16" s="40"/>
      <c r="P16" s="40"/>
      <c r="Q16" s="40"/>
      <c r="R16" s="39" t="s">
        <v>126</v>
      </c>
      <c r="S16" s="39" t="s">
        <v>1386</v>
      </c>
      <c r="T16" s="26" t="s">
        <v>308</v>
      </c>
    </row>
    <row r="17" customFormat="false" ht="15" hidden="false" customHeight="false" outlineLevel="0" collapsed="false">
      <c r="A17" s="38" t="n">
        <v>46038</v>
      </c>
      <c r="B17" s="39" t="s">
        <v>60</v>
      </c>
      <c r="C17" s="39" t="s">
        <v>1375</v>
      </c>
      <c r="D17" s="39" t="s">
        <v>1391</v>
      </c>
      <c r="E17" s="39" t="s">
        <v>116</v>
      </c>
      <c r="F17" s="39" t="s">
        <v>1392</v>
      </c>
      <c r="G17" s="39" t="s">
        <v>1393</v>
      </c>
      <c r="H17" s="39" t="s">
        <v>193</v>
      </c>
      <c r="I17" s="39" t="s">
        <v>108</v>
      </c>
      <c r="J17" s="39" t="s">
        <v>74</v>
      </c>
      <c r="K17" s="39" t="s">
        <v>93</v>
      </c>
      <c r="L17" s="39" t="s">
        <v>1369</v>
      </c>
      <c r="M17" s="39" t="s">
        <v>1358</v>
      </c>
      <c r="N17" s="39"/>
      <c r="O17" s="40"/>
      <c r="P17" s="40"/>
      <c r="Q17" s="40"/>
      <c r="R17" s="39" t="s">
        <v>127</v>
      </c>
      <c r="S17" s="39" t="s">
        <v>1370</v>
      </c>
      <c r="T17" s="26" t="s">
        <v>193</v>
      </c>
    </row>
    <row r="18" customFormat="false" ht="15" hidden="false" customHeight="false" outlineLevel="0" collapsed="false">
      <c r="A18" s="38" t="n">
        <v>46041</v>
      </c>
      <c r="B18" s="39" t="s">
        <v>60</v>
      </c>
      <c r="C18" s="39" t="s">
        <v>1375</v>
      </c>
      <c r="D18" s="39" t="s">
        <v>1394</v>
      </c>
      <c r="E18" s="39" t="s">
        <v>119</v>
      </c>
      <c r="F18" s="39" t="s">
        <v>1395</v>
      </c>
      <c r="G18" s="39" t="s">
        <v>1396</v>
      </c>
      <c r="H18" s="39" t="s">
        <v>1397</v>
      </c>
      <c r="I18" s="39" t="s">
        <v>107</v>
      </c>
      <c r="J18" s="39" t="s">
        <v>75</v>
      </c>
      <c r="K18" s="39" t="s">
        <v>95</v>
      </c>
      <c r="L18" s="39" t="s">
        <v>1398</v>
      </c>
      <c r="M18" s="39" t="s">
        <v>1358</v>
      </c>
      <c r="N18" s="39"/>
      <c r="O18" s="40"/>
      <c r="P18" s="40"/>
      <c r="Q18" s="40"/>
      <c r="R18" s="39" t="s">
        <v>126</v>
      </c>
      <c r="S18" s="39" t="s">
        <v>1399</v>
      </c>
      <c r="T18" s="26" t="s">
        <v>308</v>
      </c>
    </row>
    <row r="19" customFormat="false" ht="15" hidden="false" customHeight="false" outlineLevel="0" collapsed="false">
      <c r="A19" s="38" t="n">
        <v>46045</v>
      </c>
      <c r="B19" s="39" t="s">
        <v>60</v>
      </c>
      <c r="C19" s="39" t="s">
        <v>1375</v>
      </c>
      <c r="D19" s="39" t="s">
        <v>1400</v>
      </c>
      <c r="E19" s="39" t="s">
        <v>119</v>
      </c>
      <c r="F19" s="39" t="s">
        <v>1401</v>
      </c>
      <c r="G19" s="39" t="s">
        <v>1402</v>
      </c>
      <c r="H19" s="39" t="s">
        <v>189</v>
      </c>
      <c r="I19" s="39" t="s">
        <v>109</v>
      </c>
      <c r="J19" s="39" t="s">
        <v>79</v>
      </c>
      <c r="K19" s="39"/>
      <c r="L19" s="39" t="s">
        <v>1403</v>
      </c>
      <c r="M19" s="39" t="s">
        <v>1358</v>
      </c>
      <c r="N19" s="39"/>
      <c r="O19" s="40"/>
      <c r="P19" s="40"/>
      <c r="Q19" s="40"/>
      <c r="R19" s="39" t="s">
        <v>129</v>
      </c>
      <c r="S19" s="39" t="s">
        <v>1404</v>
      </c>
      <c r="T19" s="26" t="s">
        <v>189</v>
      </c>
    </row>
    <row r="20" customFormat="false" ht="15" hidden="false" customHeight="false" outlineLevel="0" collapsed="false">
      <c r="A20" s="38" t="n">
        <v>46045</v>
      </c>
      <c r="B20" s="39" t="s">
        <v>60</v>
      </c>
      <c r="C20" s="39" t="s">
        <v>1375</v>
      </c>
      <c r="D20" s="39" t="s">
        <v>1405</v>
      </c>
      <c r="E20" s="39" t="s">
        <v>118</v>
      </c>
      <c r="F20" s="39" t="s">
        <v>1406</v>
      </c>
      <c r="G20" s="39" t="s">
        <v>1407</v>
      </c>
      <c r="H20" s="39" t="s">
        <v>189</v>
      </c>
      <c r="I20" s="39" t="s">
        <v>109</v>
      </c>
      <c r="J20" s="39" t="s">
        <v>74</v>
      </c>
      <c r="K20" s="39" t="s">
        <v>92</v>
      </c>
      <c r="L20" s="39" t="s">
        <v>1408</v>
      </c>
      <c r="M20" s="39" t="s">
        <v>1358</v>
      </c>
      <c r="N20" s="39"/>
      <c r="O20" s="40"/>
      <c r="P20" s="40"/>
      <c r="Q20" s="40"/>
      <c r="R20" s="39" t="s">
        <v>129</v>
      </c>
      <c r="S20" s="39" t="s">
        <v>1409</v>
      </c>
      <c r="T20" s="26" t="s">
        <v>189</v>
      </c>
    </row>
    <row r="21" customFormat="false" ht="15" hidden="false" customHeight="false" outlineLevel="0" collapsed="false">
      <c r="A21" s="38" t="n">
        <v>46048</v>
      </c>
      <c r="B21" s="39" t="s">
        <v>59</v>
      </c>
      <c r="C21" s="39"/>
      <c r="D21" s="39" t="s">
        <v>1410</v>
      </c>
      <c r="E21" s="39" t="s">
        <v>116</v>
      </c>
      <c r="F21" s="39" t="s">
        <v>1411</v>
      </c>
      <c r="G21" s="39" t="s">
        <v>1412</v>
      </c>
      <c r="H21" s="39" t="s">
        <v>1413</v>
      </c>
      <c r="I21" s="39" t="s">
        <v>107</v>
      </c>
      <c r="J21" s="39" t="s">
        <v>79</v>
      </c>
      <c r="K21" s="39"/>
      <c r="L21" s="39" t="s">
        <v>1414</v>
      </c>
      <c r="M21" s="39" t="s">
        <v>1358</v>
      </c>
      <c r="N21" s="39"/>
      <c r="O21" s="40"/>
      <c r="P21" s="40"/>
      <c r="Q21" s="40"/>
      <c r="R21" s="39" t="s">
        <v>129</v>
      </c>
      <c r="S21" s="39" t="s">
        <v>1415</v>
      </c>
      <c r="T21" s="26" t="s">
        <v>264</v>
      </c>
    </row>
    <row r="22" customFormat="false" ht="15" hidden="false" customHeight="false" outlineLevel="0" collapsed="false">
      <c r="A22" s="38" t="n">
        <v>46048</v>
      </c>
      <c r="B22" s="39" t="s">
        <v>60</v>
      </c>
      <c r="C22" s="39" t="s">
        <v>1375</v>
      </c>
      <c r="D22" s="39" t="s">
        <v>1416</v>
      </c>
      <c r="E22" s="39" t="s">
        <v>118</v>
      </c>
      <c r="F22" s="39" t="s">
        <v>1417</v>
      </c>
      <c r="G22" s="39" t="s">
        <v>1418</v>
      </c>
      <c r="H22" s="39" t="s">
        <v>193</v>
      </c>
      <c r="I22" s="39" t="s">
        <v>108</v>
      </c>
      <c r="J22" s="39" t="s">
        <v>74</v>
      </c>
      <c r="K22" s="39" t="s">
        <v>93</v>
      </c>
      <c r="L22" s="39" t="s">
        <v>1369</v>
      </c>
      <c r="M22" s="39" t="s">
        <v>1358</v>
      </c>
      <c r="N22" s="39"/>
      <c r="O22" s="40"/>
      <c r="P22" s="40"/>
      <c r="Q22" s="40"/>
      <c r="R22" s="39" t="s">
        <v>127</v>
      </c>
      <c r="S22" s="39" t="s">
        <v>1419</v>
      </c>
      <c r="T22" s="26" t="s">
        <v>193</v>
      </c>
    </row>
    <row r="23" customFormat="false" ht="15" hidden="false" customHeight="false" outlineLevel="0" collapsed="false">
      <c r="A23" s="38" t="n">
        <v>46049</v>
      </c>
      <c r="B23" s="39" t="s">
        <v>61</v>
      </c>
      <c r="C23" s="39"/>
      <c r="D23" s="39" t="s">
        <v>1420</v>
      </c>
      <c r="E23" s="39" t="s">
        <v>116</v>
      </c>
      <c r="F23" s="39" t="s">
        <v>1421</v>
      </c>
      <c r="G23" s="39"/>
      <c r="H23" s="39" t="s">
        <v>1422</v>
      </c>
      <c r="I23" s="39" t="s">
        <v>108</v>
      </c>
      <c r="J23" s="39" t="s">
        <v>74</v>
      </c>
      <c r="K23" s="39" t="s">
        <v>93</v>
      </c>
      <c r="L23" s="39" t="s">
        <v>1369</v>
      </c>
      <c r="M23" s="39" t="s">
        <v>1358</v>
      </c>
      <c r="N23" s="39"/>
      <c r="O23" s="40"/>
      <c r="P23" s="40"/>
      <c r="Q23" s="40"/>
      <c r="R23" s="39" t="s">
        <v>127</v>
      </c>
      <c r="S23" s="39" t="s">
        <v>1370</v>
      </c>
      <c r="T23" s="26" t="s">
        <v>308</v>
      </c>
    </row>
    <row r="24" customFormat="false" ht="15" hidden="false" customHeight="false" outlineLevel="0" collapsed="false">
      <c r="A24" s="38" t="n">
        <v>46051</v>
      </c>
      <c r="B24" s="39" t="s">
        <v>59</v>
      </c>
      <c r="C24" s="39"/>
      <c r="D24" s="39" t="s">
        <v>1423</v>
      </c>
      <c r="E24" s="39" t="s">
        <v>116</v>
      </c>
      <c r="F24" s="39" t="s">
        <v>1424</v>
      </c>
      <c r="G24" s="39" t="s">
        <v>1425</v>
      </c>
      <c r="H24" s="39" t="s">
        <v>1426</v>
      </c>
      <c r="I24" s="39" t="s">
        <v>108</v>
      </c>
      <c r="J24" s="39" t="s">
        <v>74</v>
      </c>
      <c r="K24" s="39" t="s">
        <v>93</v>
      </c>
      <c r="L24" s="39" t="s">
        <v>1369</v>
      </c>
      <c r="M24" s="39" t="s">
        <v>1358</v>
      </c>
      <c r="N24" s="39"/>
      <c r="O24" s="40"/>
      <c r="P24" s="40"/>
      <c r="Q24" s="40"/>
      <c r="R24" s="39" t="s">
        <v>127</v>
      </c>
      <c r="S24" s="39" t="s">
        <v>1370</v>
      </c>
      <c r="T24" s="26" t="s">
        <v>308</v>
      </c>
    </row>
    <row r="25" customFormat="false" ht="15" hidden="false" customHeight="false" outlineLevel="0" collapsed="false">
      <c r="A25" s="38" t="n">
        <v>46054</v>
      </c>
      <c r="B25" s="39" t="s">
        <v>58</v>
      </c>
      <c r="C25" s="39" t="s">
        <v>1332</v>
      </c>
      <c r="D25" s="39" t="s">
        <v>1427</v>
      </c>
      <c r="E25" s="39" t="s">
        <v>116</v>
      </c>
      <c r="F25" s="39" t="s">
        <v>1428</v>
      </c>
      <c r="G25" s="39" t="s">
        <v>1429</v>
      </c>
      <c r="H25" s="39" t="s">
        <v>1430</v>
      </c>
      <c r="I25" s="39" t="s">
        <v>108</v>
      </c>
      <c r="J25" s="39" t="s">
        <v>72</v>
      </c>
      <c r="K25" s="39" t="s">
        <v>82</v>
      </c>
      <c r="L25" s="39" t="s">
        <v>1431</v>
      </c>
      <c r="M25" s="39" t="s">
        <v>1336</v>
      </c>
      <c r="N25" s="39"/>
      <c r="O25" s="40"/>
      <c r="P25" s="40"/>
      <c r="Q25" s="40" t="n">
        <v>10</v>
      </c>
      <c r="R25" s="39"/>
      <c r="S25" s="39" t="s">
        <v>1432</v>
      </c>
      <c r="T25" s="26" t="s">
        <v>308</v>
      </c>
    </row>
    <row r="26" customFormat="false" ht="15" hidden="false" customHeight="false" outlineLevel="0" collapsed="false">
      <c r="A26" s="38" t="n">
        <v>46056</v>
      </c>
      <c r="B26" s="39" t="s">
        <v>60</v>
      </c>
      <c r="C26" s="39" t="s">
        <v>1375</v>
      </c>
      <c r="D26" s="39" t="s">
        <v>1433</v>
      </c>
      <c r="E26" s="39" t="s">
        <v>118</v>
      </c>
      <c r="F26" s="39" t="s">
        <v>1434</v>
      </c>
      <c r="G26" s="39" t="s">
        <v>1435</v>
      </c>
      <c r="H26" s="39" t="s">
        <v>1390</v>
      </c>
      <c r="I26" s="39" t="s">
        <v>107</v>
      </c>
      <c r="J26" s="39" t="s">
        <v>73</v>
      </c>
      <c r="K26" s="39" t="s">
        <v>87</v>
      </c>
      <c r="L26" s="39" t="s">
        <v>1380</v>
      </c>
      <c r="M26" s="39" t="s">
        <v>1358</v>
      </c>
      <c r="N26" s="39"/>
      <c r="O26" s="40"/>
      <c r="P26" s="40"/>
      <c r="Q26" s="40"/>
      <c r="R26" s="39" t="s">
        <v>126</v>
      </c>
      <c r="S26" s="39" t="s">
        <v>1381</v>
      </c>
      <c r="T26" s="26" t="s">
        <v>308</v>
      </c>
    </row>
    <row r="27" customFormat="false" ht="15" hidden="false" customHeight="false" outlineLevel="0" collapsed="false">
      <c r="A27" s="38" t="n">
        <v>46056</v>
      </c>
      <c r="B27" s="39" t="s">
        <v>59</v>
      </c>
      <c r="C27" s="39"/>
      <c r="D27" s="39" t="s">
        <v>1436</v>
      </c>
      <c r="E27" s="39" t="s">
        <v>116</v>
      </c>
      <c r="F27" s="39" t="s">
        <v>1437</v>
      </c>
      <c r="G27" s="39" t="s">
        <v>1438</v>
      </c>
      <c r="H27" s="39" t="s">
        <v>1368</v>
      </c>
      <c r="I27" s="39" t="s">
        <v>107</v>
      </c>
      <c r="J27" s="39" t="s">
        <v>72</v>
      </c>
      <c r="K27" s="39" t="s">
        <v>85</v>
      </c>
      <c r="L27" s="39" t="s">
        <v>1439</v>
      </c>
      <c r="M27" s="39" t="s">
        <v>1358</v>
      </c>
      <c r="N27" s="39"/>
      <c r="O27" s="40"/>
      <c r="P27" s="40"/>
      <c r="Q27" s="40"/>
      <c r="R27" s="39" t="s">
        <v>128</v>
      </c>
      <c r="S27" s="39" t="s">
        <v>1440</v>
      </c>
      <c r="T27" s="26" t="s">
        <v>308</v>
      </c>
    </row>
    <row r="28" customFormat="false" ht="15" hidden="false" customHeight="false" outlineLevel="0" collapsed="false">
      <c r="A28" s="38" t="n">
        <v>46057</v>
      </c>
      <c r="B28" s="39" t="s">
        <v>60</v>
      </c>
      <c r="C28" s="39" t="s">
        <v>1375</v>
      </c>
      <c r="D28" s="39" t="s">
        <v>1441</v>
      </c>
      <c r="E28" s="39" t="s">
        <v>118</v>
      </c>
      <c r="F28" s="39" t="s">
        <v>1442</v>
      </c>
      <c r="G28" s="39" t="s">
        <v>1443</v>
      </c>
      <c r="H28" s="39" t="s">
        <v>1363</v>
      </c>
      <c r="I28" s="39" t="s">
        <v>107</v>
      </c>
      <c r="J28" s="39" t="s">
        <v>73</v>
      </c>
      <c r="K28" s="39" t="s">
        <v>87</v>
      </c>
      <c r="L28" s="39" t="s">
        <v>1380</v>
      </c>
      <c r="M28" s="39" t="s">
        <v>1358</v>
      </c>
      <c r="N28" s="39"/>
      <c r="O28" s="40"/>
      <c r="P28" s="40"/>
      <c r="Q28" s="40"/>
      <c r="R28" s="39" t="s">
        <v>126</v>
      </c>
      <c r="S28" s="39" t="s">
        <v>1381</v>
      </c>
      <c r="T28" s="26" t="s">
        <v>308</v>
      </c>
    </row>
    <row r="29" customFormat="false" ht="15" hidden="false" customHeight="false" outlineLevel="0" collapsed="false">
      <c r="A29" s="38" t="n">
        <v>46061</v>
      </c>
      <c r="B29" s="39" t="s">
        <v>59</v>
      </c>
      <c r="C29" s="39"/>
      <c r="D29" s="39" t="s">
        <v>1444</v>
      </c>
      <c r="E29" s="39" t="s">
        <v>116</v>
      </c>
      <c r="F29" s="39" t="s">
        <v>1445</v>
      </c>
      <c r="G29" s="39" t="s">
        <v>1446</v>
      </c>
      <c r="H29" s="39" t="s">
        <v>1390</v>
      </c>
      <c r="I29" s="39" t="s">
        <v>107</v>
      </c>
      <c r="J29" s="39" t="s">
        <v>76</v>
      </c>
      <c r="K29" s="39" t="s">
        <v>99</v>
      </c>
      <c r="L29" s="39" t="s">
        <v>1357</v>
      </c>
      <c r="M29" s="39" t="s">
        <v>1358</v>
      </c>
      <c r="N29" s="39"/>
      <c r="O29" s="40"/>
      <c r="P29" s="40"/>
      <c r="Q29" s="40"/>
      <c r="R29" s="39" t="s">
        <v>126</v>
      </c>
      <c r="S29" s="39" t="s">
        <v>1364</v>
      </c>
      <c r="T29" s="26" t="s">
        <v>308</v>
      </c>
    </row>
    <row r="30" customFormat="false" ht="15" hidden="false" customHeight="false" outlineLevel="0" collapsed="false">
      <c r="A30" s="38" t="n">
        <v>46062</v>
      </c>
      <c r="B30" s="39" t="s">
        <v>59</v>
      </c>
      <c r="C30" s="39"/>
      <c r="D30" s="39" t="s">
        <v>1447</v>
      </c>
      <c r="E30" s="39" t="s">
        <v>120</v>
      </c>
      <c r="F30" s="39" t="s">
        <v>1448</v>
      </c>
      <c r="G30" s="39" t="s">
        <v>1449</v>
      </c>
      <c r="H30" s="39" t="s">
        <v>1363</v>
      </c>
      <c r="I30" s="39" t="s">
        <v>107</v>
      </c>
      <c r="J30" s="39" t="s">
        <v>79</v>
      </c>
      <c r="K30" s="39"/>
      <c r="L30" s="39" t="s">
        <v>1403</v>
      </c>
      <c r="M30" s="39" t="s">
        <v>1358</v>
      </c>
      <c r="N30" s="39"/>
      <c r="O30" s="40"/>
      <c r="P30" s="40"/>
      <c r="Q30" s="40"/>
      <c r="R30" s="39" t="s">
        <v>129</v>
      </c>
      <c r="S30" s="39" t="s">
        <v>1450</v>
      </c>
      <c r="T30" s="26" t="s">
        <v>308</v>
      </c>
    </row>
    <row r="31" customFormat="false" ht="15" hidden="false" customHeight="false" outlineLevel="0" collapsed="false">
      <c r="A31" s="38" t="n">
        <v>46064</v>
      </c>
      <c r="B31" s="39" t="s">
        <v>59</v>
      </c>
      <c r="C31" s="39"/>
      <c r="D31" s="39" t="s">
        <v>1451</v>
      </c>
      <c r="E31" s="39" t="s">
        <v>120</v>
      </c>
      <c r="F31" s="39" t="s">
        <v>1452</v>
      </c>
      <c r="G31" s="39" t="s">
        <v>1453</v>
      </c>
      <c r="H31" s="39" t="s">
        <v>1454</v>
      </c>
      <c r="I31" s="39" t="s">
        <v>108</v>
      </c>
      <c r="J31" s="39" t="s">
        <v>74</v>
      </c>
      <c r="K31" s="39" t="s">
        <v>93</v>
      </c>
      <c r="L31" s="39" t="s">
        <v>1369</v>
      </c>
      <c r="M31" s="39" t="s">
        <v>1358</v>
      </c>
      <c r="N31" s="39"/>
      <c r="O31" s="40"/>
      <c r="P31" s="40"/>
      <c r="Q31" s="40"/>
      <c r="R31" s="39" t="s">
        <v>127</v>
      </c>
      <c r="S31" s="39" t="s">
        <v>1455</v>
      </c>
      <c r="T31" s="26" t="s">
        <v>308</v>
      </c>
    </row>
    <row r="32" customFormat="false" ht="15" hidden="false" customHeight="false" outlineLevel="0" collapsed="false">
      <c r="A32" s="38" t="n">
        <v>46070</v>
      </c>
      <c r="B32" s="39" t="s">
        <v>59</v>
      </c>
      <c r="C32" s="39" t="s">
        <v>1375</v>
      </c>
      <c r="D32" s="39" t="s">
        <v>1456</v>
      </c>
      <c r="E32" s="39" t="s">
        <v>116</v>
      </c>
      <c r="F32" s="39" t="s">
        <v>1457</v>
      </c>
      <c r="G32" s="39" t="s">
        <v>1458</v>
      </c>
      <c r="H32" s="39" t="s">
        <v>1459</v>
      </c>
      <c r="I32" s="39" t="s">
        <v>107</v>
      </c>
      <c r="J32" s="39" t="s">
        <v>76</v>
      </c>
      <c r="K32" s="39" t="s">
        <v>99</v>
      </c>
      <c r="L32" s="39" t="s">
        <v>1357</v>
      </c>
      <c r="M32" s="39" t="s">
        <v>1358</v>
      </c>
      <c r="N32" s="39"/>
      <c r="O32" s="40"/>
      <c r="P32" s="40"/>
      <c r="Q32" s="40"/>
      <c r="R32" s="39" t="s">
        <v>125</v>
      </c>
      <c r="S32" s="39" t="s">
        <v>1364</v>
      </c>
      <c r="T32" s="26" t="s">
        <v>308</v>
      </c>
    </row>
    <row r="33" customFormat="false" ht="15" hidden="false" customHeight="false" outlineLevel="0" collapsed="false">
      <c r="A33" s="38" t="n">
        <v>46070</v>
      </c>
      <c r="B33" s="39" t="s">
        <v>67</v>
      </c>
      <c r="C33" s="39" t="s">
        <v>1375</v>
      </c>
      <c r="D33" s="39" t="s">
        <v>1460</v>
      </c>
      <c r="E33" s="39" t="s">
        <v>118</v>
      </c>
      <c r="F33" s="39" t="s">
        <v>1442</v>
      </c>
      <c r="G33" s="39" t="s">
        <v>1443</v>
      </c>
      <c r="H33" s="39" t="s">
        <v>1363</v>
      </c>
      <c r="I33" s="39" t="s">
        <v>107</v>
      </c>
      <c r="J33" s="39" t="s">
        <v>73</v>
      </c>
      <c r="K33" s="39" t="s">
        <v>87</v>
      </c>
      <c r="L33" s="39" t="s">
        <v>1380</v>
      </c>
      <c r="M33" s="39" t="s">
        <v>1358</v>
      </c>
      <c r="N33" s="39"/>
      <c r="O33" s="40"/>
      <c r="P33" s="40"/>
      <c r="Q33" s="40"/>
      <c r="R33" s="39" t="s">
        <v>126</v>
      </c>
      <c r="S33" s="39" t="s">
        <v>1381</v>
      </c>
      <c r="T33" s="26" t="s">
        <v>308</v>
      </c>
    </row>
    <row r="34" customFormat="false" ht="15" hidden="false" customHeight="false" outlineLevel="0" collapsed="false">
      <c r="A34" s="38" t="n">
        <v>46079</v>
      </c>
      <c r="B34" s="39" t="s">
        <v>59</v>
      </c>
      <c r="C34" s="39" t="s">
        <v>1375</v>
      </c>
      <c r="D34" s="39" t="s">
        <v>1461</v>
      </c>
      <c r="E34" s="39" t="s">
        <v>116</v>
      </c>
      <c r="F34" s="39" t="s">
        <v>1462</v>
      </c>
      <c r="G34" s="39" t="s">
        <v>1463</v>
      </c>
      <c r="H34" s="39" t="s">
        <v>1464</v>
      </c>
      <c r="I34" s="39" t="s">
        <v>107</v>
      </c>
      <c r="J34" s="39" t="s">
        <v>75</v>
      </c>
      <c r="K34" s="39" t="s">
        <v>95</v>
      </c>
      <c r="L34" s="39" t="s">
        <v>1349</v>
      </c>
      <c r="M34" s="39" t="s">
        <v>1358</v>
      </c>
      <c r="N34" s="39"/>
      <c r="O34" s="40"/>
      <c r="P34" s="40"/>
      <c r="Q34" s="40"/>
      <c r="R34" s="39" t="s">
        <v>129</v>
      </c>
      <c r="S34" s="39" t="s">
        <v>1465</v>
      </c>
      <c r="T34" s="26" t="s">
        <v>308</v>
      </c>
    </row>
    <row r="35" customFormat="false" ht="15" hidden="false" customHeight="false" outlineLevel="0" collapsed="false">
      <c r="A35" s="38" t="n">
        <v>46080</v>
      </c>
      <c r="B35" s="39" t="s">
        <v>59</v>
      </c>
      <c r="C35" s="39"/>
      <c r="D35" s="39" t="s">
        <v>1466</v>
      </c>
      <c r="E35" s="39" t="s">
        <v>116</v>
      </c>
      <c r="F35" s="39" t="s">
        <v>1467</v>
      </c>
      <c r="G35" s="39" t="s">
        <v>1468</v>
      </c>
      <c r="H35" s="39" t="s">
        <v>1469</v>
      </c>
      <c r="I35" s="39" t="s">
        <v>107</v>
      </c>
      <c r="J35" s="39" t="s">
        <v>72</v>
      </c>
      <c r="K35" s="39" t="s">
        <v>85</v>
      </c>
      <c r="L35" s="39" t="s">
        <v>1439</v>
      </c>
      <c r="M35" s="39" t="s">
        <v>1358</v>
      </c>
      <c r="N35" s="39"/>
      <c r="O35" s="40"/>
      <c r="P35" s="40"/>
      <c r="Q35" s="40"/>
      <c r="R35" s="39" t="s">
        <v>128</v>
      </c>
      <c r="S35" s="39" t="s">
        <v>1440</v>
      </c>
      <c r="T35" s="26" t="s">
        <v>308</v>
      </c>
    </row>
    <row r="36" customFormat="false" ht="15" hidden="false" customHeight="false" outlineLevel="0" collapsed="false">
      <c r="A36" s="38" t="n">
        <v>46085</v>
      </c>
      <c r="B36" s="39" t="s">
        <v>60</v>
      </c>
      <c r="C36" s="39" t="s">
        <v>1375</v>
      </c>
      <c r="D36" s="39" t="s">
        <v>1470</v>
      </c>
      <c r="E36" s="39" t="s">
        <v>118</v>
      </c>
      <c r="F36" s="39" t="s">
        <v>1471</v>
      </c>
      <c r="G36" s="39" t="s">
        <v>1472</v>
      </c>
      <c r="H36" s="39" t="s">
        <v>1473</v>
      </c>
      <c r="I36" s="39" t="s">
        <v>107</v>
      </c>
      <c r="J36" s="39" t="s">
        <v>73</v>
      </c>
      <c r="K36" s="39" t="s">
        <v>87</v>
      </c>
      <c r="L36" s="39" t="s">
        <v>1380</v>
      </c>
      <c r="M36" s="39" t="s">
        <v>1358</v>
      </c>
      <c r="N36" s="39"/>
      <c r="O36" s="40"/>
      <c r="P36" s="40"/>
      <c r="Q36" s="40"/>
      <c r="R36" s="39" t="s">
        <v>126</v>
      </c>
      <c r="S36" s="39" t="s">
        <v>1381</v>
      </c>
      <c r="T36" s="26" t="s">
        <v>308</v>
      </c>
    </row>
    <row r="37" customFormat="false" ht="15" hidden="false" customHeight="false" outlineLevel="0" collapsed="false">
      <c r="A37" s="38" t="n">
        <v>46093</v>
      </c>
      <c r="B37" s="39" t="s">
        <v>60</v>
      </c>
      <c r="C37" s="39" t="s">
        <v>1375</v>
      </c>
      <c r="D37" s="39" t="s">
        <v>1474</v>
      </c>
      <c r="E37" s="39" t="s">
        <v>119</v>
      </c>
      <c r="F37" s="39" t="s">
        <v>1475</v>
      </c>
      <c r="G37" s="39" t="s">
        <v>1476</v>
      </c>
      <c r="H37" s="39" t="s">
        <v>1477</v>
      </c>
      <c r="I37" s="39" t="s">
        <v>113</v>
      </c>
      <c r="J37" s="39" t="s">
        <v>79</v>
      </c>
      <c r="K37" s="39"/>
      <c r="L37" s="39" t="s">
        <v>1403</v>
      </c>
      <c r="M37" s="39" t="s">
        <v>1358</v>
      </c>
      <c r="N37" s="39"/>
      <c r="O37" s="40"/>
      <c r="P37" s="40"/>
      <c r="Q37" s="40"/>
      <c r="R37" s="39" t="s">
        <v>126</v>
      </c>
      <c r="S37" s="39" t="s">
        <v>1478</v>
      </c>
      <c r="T37" s="26" t="s">
        <v>308</v>
      </c>
    </row>
    <row r="38" customFormat="false" ht="15" hidden="false" customHeight="false" outlineLevel="0" collapsed="false">
      <c r="A38" s="38" t="n">
        <v>46097</v>
      </c>
      <c r="B38" s="39" t="s">
        <v>60</v>
      </c>
      <c r="C38" s="39" t="s">
        <v>1375</v>
      </c>
      <c r="D38" s="39" t="s">
        <v>1479</v>
      </c>
      <c r="E38" s="39" t="s">
        <v>118</v>
      </c>
      <c r="F38" s="39" t="s">
        <v>1480</v>
      </c>
      <c r="G38" s="39" t="s">
        <v>1481</v>
      </c>
      <c r="H38" s="39" t="s">
        <v>1482</v>
      </c>
      <c r="I38" s="39" t="s">
        <v>107</v>
      </c>
      <c r="J38" s="39" t="s">
        <v>74</v>
      </c>
      <c r="K38" s="39" t="s">
        <v>93</v>
      </c>
      <c r="L38" s="39" t="s">
        <v>1369</v>
      </c>
      <c r="M38" s="39" t="s">
        <v>1358</v>
      </c>
      <c r="N38" s="39"/>
      <c r="O38" s="40"/>
      <c r="P38" s="40"/>
      <c r="Q38" s="40"/>
      <c r="R38" s="39" t="s">
        <v>126</v>
      </c>
      <c r="S38" s="39" t="s">
        <v>1419</v>
      </c>
      <c r="T38" s="26" t="s">
        <v>308</v>
      </c>
    </row>
    <row r="39" customFormat="false" ht="15" hidden="false" customHeight="false" outlineLevel="0" collapsed="false">
      <c r="A39" s="38" t="n">
        <v>46097</v>
      </c>
      <c r="B39" s="39" t="s">
        <v>61</v>
      </c>
      <c r="C39" s="39"/>
      <c r="D39" s="39" t="s">
        <v>1483</v>
      </c>
      <c r="E39" s="39" t="s">
        <v>120</v>
      </c>
      <c r="F39" s="39" t="s">
        <v>1484</v>
      </c>
      <c r="G39" s="39"/>
      <c r="H39" s="39" t="s">
        <v>1363</v>
      </c>
      <c r="I39" s="39" t="s">
        <v>107</v>
      </c>
      <c r="J39" s="39" t="s">
        <v>73</v>
      </c>
      <c r="K39" s="39" t="s">
        <v>87</v>
      </c>
      <c r="L39" s="39" t="s">
        <v>1380</v>
      </c>
      <c r="M39" s="39" t="s">
        <v>1358</v>
      </c>
      <c r="N39" s="39"/>
      <c r="O39" s="40"/>
      <c r="P39" s="40"/>
      <c r="Q39" s="40"/>
      <c r="R39" s="39" t="s">
        <v>126</v>
      </c>
      <c r="S39" s="39" t="s">
        <v>1485</v>
      </c>
      <c r="T39" s="26" t="s">
        <v>308</v>
      </c>
    </row>
    <row r="40" customFormat="false" ht="15" hidden="false" customHeight="false" outlineLevel="0" collapsed="false">
      <c r="A40" s="38" t="n">
        <v>46097</v>
      </c>
      <c r="B40" s="39" t="s">
        <v>61</v>
      </c>
      <c r="C40" s="39"/>
      <c r="D40" s="39" t="s">
        <v>1231</v>
      </c>
      <c r="E40" s="39" t="s">
        <v>116</v>
      </c>
      <c r="F40" s="39" t="s">
        <v>1486</v>
      </c>
      <c r="G40" s="39"/>
      <c r="H40" s="39" t="s">
        <v>279</v>
      </c>
      <c r="I40" s="39" t="s">
        <v>107</v>
      </c>
      <c r="J40" s="39" t="s">
        <v>72</v>
      </c>
      <c r="K40" s="39" t="s">
        <v>82</v>
      </c>
      <c r="L40" s="39" t="s">
        <v>1487</v>
      </c>
      <c r="M40" s="39" t="s">
        <v>1358</v>
      </c>
      <c r="N40" s="39"/>
      <c r="O40" s="40"/>
      <c r="P40" s="40"/>
      <c r="Q40" s="40"/>
      <c r="R40" s="39" t="s">
        <v>129</v>
      </c>
      <c r="S40" s="39" t="s">
        <v>1488</v>
      </c>
      <c r="T40" s="26" t="s">
        <v>279</v>
      </c>
    </row>
    <row r="41" customFormat="false" ht="15" hidden="false" customHeight="false" outlineLevel="0" collapsed="false">
      <c r="A41" s="38" t="n">
        <v>46097</v>
      </c>
      <c r="B41" s="39" t="s">
        <v>60</v>
      </c>
      <c r="C41" s="39" t="s">
        <v>1489</v>
      </c>
      <c r="D41" s="39" t="s">
        <v>1490</v>
      </c>
      <c r="E41" s="39" t="s">
        <v>120</v>
      </c>
      <c r="F41" s="39" t="s">
        <v>1491</v>
      </c>
      <c r="G41" s="39"/>
      <c r="H41" s="39" t="s">
        <v>1390</v>
      </c>
      <c r="I41" s="39" t="s">
        <v>107</v>
      </c>
      <c r="J41" s="39" t="s">
        <v>73</v>
      </c>
      <c r="K41" s="39" t="s">
        <v>87</v>
      </c>
      <c r="L41" s="39" t="s">
        <v>1380</v>
      </c>
      <c r="M41" s="39" t="s">
        <v>1358</v>
      </c>
      <c r="N41" s="39"/>
      <c r="O41" s="40"/>
      <c r="P41" s="40"/>
      <c r="Q41" s="40"/>
      <c r="R41" s="39" t="s">
        <v>129</v>
      </c>
      <c r="S41" s="39" t="s">
        <v>1485</v>
      </c>
      <c r="T41" s="26" t="s">
        <v>308</v>
      </c>
    </row>
    <row r="42" customFormat="false" ht="15" hidden="false" customHeight="false" outlineLevel="0" collapsed="false">
      <c r="A42" s="38" t="n">
        <v>46097</v>
      </c>
      <c r="B42" s="39" t="s">
        <v>60</v>
      </c>
      <c r="C42" s="39" t="s">
        <v>1489</v>
      </c>
      <c r="D42" s="39" t="s">
        <v>1492</v>
      </c>
      <c r="E42" s="39" t="s">
        <v>116</v>
      </c>
      <c r="F42" s="39" t="s">
        <v>1493</v>
      </c>
      <c r="G42" s="39"/>
      <c r="H42" s="39" t="s">
        <v>1494</v>
      </c>
      <c r="I42" s="39" t="s">
        <v>110</v>
      </c>
      <c r="J42" s="39" t="s">
        <v>74</v>
      </c>
      <c r="K42" s="39" t="s">
        <v>93</v>
      </c>
      <c r="L42" s="39" t="s">
        <v>1369</v>
      </c>
      <c r="M42" s="39" t="s">
        <v>1358</v>
      </c>
      <c r="N42" s="39"/>
      <c r="O42" s="40"/>
      <c r="P42" s="40"/>
      <c r="Q42" s="40"/>
      <c r="R42" s="39" t="s">
        <v>129</v>
      </c>
      <c r="S42" s="39" t="s">
        <v>1370</v>
      </c>
      <c r="T42" s="26" t="s">
        <v>308</v>
      </c>
    </row>
    <row r="43" customFormat="false" ht="15" hidden="false" customHeight="false" outlineLevel="0" collapsed="false">
      <c r="A43" s="38" t="n">
        <v>46097</v>
      </c>
      <c r="B43" s="39" t="s">
        <v>61</v>
      </c>
      <c r="C43" s="39"/>
      <c r="D43" s="39" t="s">
        <v>1495</v>
      </c>
      <c r="E43" s="39" t="s">
        <v>116</v>
      </c>
      <c r="F43" s="39" t="s">
        <v>1496</v>
      </c>
      <c r="G43" s="39" t="s">
        <v>1497</v>
      </c>
      <c r="H43" s="39" t="s">
        <v>1498</v>
      </c>
      <c r="I43" s="39" t="s">
        <v>107</v>
      </c>
      <c r="J43" s="39" t="s">
        <v>76</v>
      </c>
      <c r="K43" s="39" t="s">
        <v>99</v>
      </c>
      <c r="L43" s="39" t="s">
        <v>1357</v>
      </c>
      <c r="M43" s="39" t="s">
        <v>1358</v>
      </c>
      <c r="N43" s="39"/>
      <c r="O43" s="40"/>
      <c r="P43" s="40"/>
      <c r="Q43" s="40"/>
      <c r="R43" s="39" t="s">
        <v>125</v>
      </c>
      <c r="S43" s="39" t="s">
        <v>1364</v>
      </c>
      <c r="T43" s="26" t="s">
        <v>308</v>
      </c>
    </row>
    <row r="44" customFormat="false" ht="15" hidden="false" customHeight="false" outlineLevel="0" collapsed="false">
      <c r="A44" s="38" t="n">
        <v>46097</v>
      </c>
      <c r="B44" s="39" t="s">
        <v>61</v>
      </c>
      <c r="C44" s="39"/>
      <c r="D44" s="39" t="s">
        <v>1499</v>
      </c>
      <c r="E44" s="39" t="s">
        <v>120</v>
      </c>
      <c r="F44" s="39" t="s">
        <v>1500</v>
      </c>
      <c r="G44" s="39"/>
      <c r="H44" s="39" t="s">
        <v>193</v>
      </c>
      <c r="I44" s="39" t="s">
        <v>108</v>
      </c>
      <c r="J44" s="39" t="s">
        <v>76</v>
      </c>
      <c r="K44" s="39" t="s">
        <v>99</v>
      </c>
      <c r="L44" s="39" t="s">
        <v>1357</v>
      </c>
      <c r="M44" s="39" t="s">
        <v>1358</v>
      </c>
      <c r="N44" s="39"/>
      <c r="O44" s="40"/>
      <c r="P44" s="40"/>
      <c r="Q44" s="40"/>
      <c r="R44" s="39" t="s">
        <v>128</v>
      </c>
      <c r="S44" s="39" t="s">
        <v>1359</v>
      </c>
      <c r="T44" s="26" t="s">
        <v>193</v>
      </c>
    </row>
    <row r="45" customFormat="false" ht="15" hidden="false" customHeight="false" outlineLevel="0" collapsed="false">
      <c r="A45" s="38" t="n">
        <v>46099</v>
      </c>
      <c r="B45" s="39" t="s">
        <v>61</v>
      </c>
      <c r="C45" s="39"/>
      <c r="D45" s="39" t="s">
        <v>1501</v>
      </c>
      <c r="E45" s="39" t="s">
        <v>116</v>
      </c>
      <c r="F45" s="39" t="s">
        <v>1502</v>
      </c>
      <c r="G45" s="39"/>
      <c r="H45" s="39" t="s">
        <v>1390</v>
      </c>
      <c r="I45" s="39" t="s">
        <v>107</v>
      </c>
      <c r="J45" s="39" t="s">
        <v>74</v>
      </c>
      <c r="K45" s="39" t="s">
        <v>93</v>
      </c>
      <c r="L45" s="39" t="s">
        <v>1369</v>
      </c>
      <c r="M45" s="39" t="s">
        <v>1358</v>
      </c>
      <c r="N45" s="39"/>
      <c r="O45" s="40"/>
      <c r="P45" s="40"/>
      <c r="Q45" s="40"/>
      <c r="R45" s="39" t="s">
        <v>126</v>
      </c>
      <c r="S45" s="39" t="s">
        <v>1370</v>
      </c>
      <c r="T45" s="26" t="s">
        <v>308</v>
      </c>
    </row>
    <row r="46" customFormat="false" ht="15" hidden="false" customHeight="false" outlineLevel="0" collapsed="false">
      <c r="A46" s="38" t="n">
        <v>46099</v>
      </c>
      <c r="B46" s="39" t="s">
        <v>68</v>
      </c>
      <c r="C46" s="39"/>
      <c r="D46" s="39" t="s">
        <v>1503</v>
      </c>
      <c r="E46" s="39" t="s">
        <v>120</v>
      </c>
      <c r="F46" s="39" t="s">
        <v>1504</v>
      </c>
      <c r="G46" s="39"/>
      <c r="H46" s="39"/>
      <c r="I46" s="39"/>
      <c r="J46" s="39" t="s">
        <v>79</v>
      </c>
      <c r="K46" s="39"/>
      <c r="L46" s="39" t="s">
        <v>1505</v>
      </c>
      <c r="M46" s="39" t="s">
        <v>1358</v>
      </c>
      <c r="N46" s="39"/>
      <c r="O46" s="40"/>
      <c r="P46" s="40"/>
      <c r="Q46" s="40"/>
      <c r="R46" s="39"/>
      <c r="S46" s="39" t="s">
        <v>1506</v>
      </c>
      <c r="T46" s="26" t="s">
        <v>308</v>
      </c>
    </row>
    <row r="47" customFormat="false" ht="15" hidden="false" customHeight="false" outlineLevel="0" collapsed="false">
      <c r="A47" s="38" t="n">
        <v>46107</v>
      </c>
      <c r="B47" s="39" t="s">
        <v>60</v>
      </c>
      <c r="C47" s="39" t="s">
        <v>1375</v>
      </c>
      <c r="D47" s="39" t="s">
        <v>1507</v>
      </c>
      <c r="E47" s="39" t="s">
        <v>116</v>
      </c>
      <c r="F47" s="39" t="s">
        <v>1508</v>
      </c>
      <c r="G47" s="39"/>
      <c r="H47" s="39" t="s">
        <v>1509</v>
      </c>
      <c r="I47" s="39" t="s">
        <v>107</v>
      </c>
      <c r="J47" s="39" t="s">
        <v>79</v>
      </c>
      <c r="K47" s="39"/>
      <c r="L47" s="39" t="s">
        <v>1505</v>
      </c>
      <c r="M47" s="39" t="s">
        <v>1358</v>
      </c>
      <c r="N47" s="39"/>
      <c r="O47" s="40"/>
      <c r="P47" s="40"/>
      <c r="Q47" s="40"/>
      <c r="R47" s="39"/>
      <c r="S47" s="39" t="s">
        <v>1510</v>
      </c>
      <c r="T47" s="26" t="s">
        <v>308</v>
      </c>
    </row>
    <row r="48" customFormat="false" ht="15" hidden="false" customHeight="false" outlineLevel="0" collapsed="false">
      <c r="A48" s="38" t="n">
        <v>46107</v>
      </c>
      <c r="B48" s="39" t="s">
        <v>61</v>
      </c>
      <c r="C48" s="39"/>
      <c r="D48" s="39" t="s">
        <v>1511</v>
      </c>
      <c r="E48" s="39" t="s">
        <v>116</v>
      </c>
      <c r="F48" s="39" t="s">
        <v>1512</v>
      </c>
      <c r="G48" s="39"/>
      <c r="H48" s="39"/>
      <c r="I48" s="39"/>
      <c r="J48" s="39" t="s">
        <v>74</v>
      </c>
      <c r="K48" s="39" t="s">
        <v>93</v>
      </c>
      <c r="L48" s="39" t="s">
        <v>1369</v>
      </c>
      <c r="M48" s="39" t="s">
        <v>1358</v>
      </c>
      <c r="N48" s="39"/>
      <c r="O48" s="40"/>
      <c r="P48" s="40"/>
      <c r="Q48" s="40"/>
      <c r="R48" s="39"/>
      <c r="S48" s="39" t="s">
        <v>1370</v>
      </c>
      <c r="T48" s="26" t="s">
        <v>308</v>
      </c>
    </row>
    <row r="49" customFormat="false" ht="15" hidden="false" customHeight="false" outlineLevel="0" collapsed="false">
      <c r="A49" s="38" t="n">
        <v>46107</v>
      </c>
      <c r="B49" s="39" t="s">
        <v>61</v>
      </c>
      <c r="C49" s="39"/>
      <c r="D49" s="39" t="s">
        <v>1513</v>
      </c>
      <c r="E49" s="39" t="s">
        <v>116</v>
      </c>
      <c r="F49" s="39" t="s">
        <v>1514</v>
      </c>
      <c r="G49" s="39"/>
      <c r="H49" s="39" t="s">
        <v>1473</v>
      </c>
      <c r="I49" s="39" t="s">
        <v>107</v>
      </c>
      <c r="J49" s="39" t="s">
        <v>74</v>
      </c>
      <c r="K49" s="39" t="s">
        <v>93</v>
      </c>
      <c r="L49" s="39" t="s">
        <v>1369</v>
      </c>
      <c r="M49" s="39" t="s">
        <v>1358</v>
      </c>
      <c r="N49" s="39"/>
      <c r="O49" s="40"/>
      <c r="P49" s="40"/>
      <c r="Q49" s="40"/>
      <c r="R49" s="39"/>
      <c r="S49" s="39" t="s">
        <v>1370</v>
      </c>
      <c r="T49" s="26" t="s">
        <v>308</v>
      </c>
    </row>
    <row r="50" customFormat="false" ht="15" hidden="false" customHeight="false" outlineLevel="0" collapsed="false">
      <c r="A50" s="38" t="n">
        <v>46110</v>
      </c>
      <c r="B50" s="39" t="s">
        <v>58</v>
      </c>
      <c r="C50" s="39" t="s">
        <v>1332</v>
      </c>
      <c r="D50" s="39" t="s">
        <v>1515</v>
      </c>
      <c r="E50" s="39" t="s">
        <v>116</v>
      </c>
      <c r="F50" s="39" t="s">
        <v>1516</v>
      </c>
      <c r="G50" s="39" t="s">
        <v>464</v>
      </c>
      <c r="H50" s="39" t="s">
        <v>1517</v>
      </c>
      <c r="I50" s="39" t="s">
        <v>108</v>
      </c>
      <c r="J50" s="39" t="s">
        <v>75</v>
      </c>
      <c r="K50" s="39" t="s">
        <v>95</v>
      </c>
      <c r="L50" s="39" t="s">
        <v>1518</v>
      </c>
      <c r="M50" s="39" t="s">
        <v>1336</v>
      </c>
      <c r="N50" s="39"/>
      <c r="O50" s="40"/>
      <c r="P50" s="40"/>
      <c r="Q50" s="40" t="n">
        <v>8</v>
      </c>
      <c r="R50" s="39"/>
      <c r="S50" s="39" t="s">
        <v>1337</v>
      </c>
      <c r="T50" s="26" t="s">
        <v>236</v>
      </c>
    </row>
    <row r="51" customFormat="false" ht="15" hidden="false" customHeight="false" outlineLevel="0" collapsed="false">
      <c r="A51" s="38" t="n">
        <v>46111</v>
      </c>
      <c r="B51" s="39" t="s">
        <v>59</v>
      </c>
      <c r="C51" s="39" t="s">
        <v>1375</v>
      </c>
      <c r="D51" s="39" t="s">
        <v>1519</v>
      </c>
      <c r="E51" s="39" t="s">
        <v>117</v>
      </c>
      <c r="F51" s="39" t="s">
        <v>1520</v>
      </c>
      <c r="G51" s="39" t="s">
        <v>468</v>
      </c>
      <c r="H51" s="39" t="s">
        <v>1390</v>
      </c>
      <c r="I51" s="39" t="s">
        <v>107</v>
      </c>
      <c r="J51" s="39" t="s">
        <v>72</v>
      </c>
      <c r="K51" s="39" t="s">
        <v>83</v>
      </c>
      <c r="L51" s="39" t="s">
        <v>1521</v>
      </c>
      <c r="M51" s="39" t="s">
        <v>1358</v>
      </c>
      <c r="N51" s="39"/>
      <c r="O51" s="40"/>
      <c r="P51" s="40"/>
      <c r="Q51" s="40"/>
      <c r="R51" s="39"/>
      <c r="S51" s="39" t="s">
        <v>1522</v>
      </c>
      <c r="T51" s="26" t="s">
        <v>308</v>
      </c>
    </row>
    <row r="52" customFormat="false" ht="15" hidden="false" customHeight="false" outlineLevel="0" collapsed="false">
      <c r="A52" s="38" t="n">
        <v>46111</v>
      </c>
      <c r="B52" s="39" t="s">
        <v>59</v>
      </c>
      <c r="C52" s="39" t="s">
        <v>1375</v>
      </c>
      <c r="D52" s="39" t="s">
        <v>1523</v>
      </c>
      <c r="E52" s="39" t="s">
        <v>116</v>
      </c>
      <c r="F52" s="39" t="s">
        <v>1524</v>
      </c>
      <c r="G52" s="39" t="s">
        <v>460</v>
      </c>
      <c r="H52" s="39" t="s">
        <v>1525</v>
      </c>
      <c r="I52" s="39" t="s">
        <v>107</v>
      </c>
      <c r="J52" s="39" t="s">
        <v>72</v>
      </c>
      <c r="K52" s="39" t="s">
        <v>82</v>
      </c>
      <c r="L52" s="39" t="s">
        <v>1487</v>
      </c>
      <c r="M52" s="39" t="s">
        <v>1358</v>
      </c>
      <c r="N52" s="39"/>
      <c r="O52" s="40"/>
      <c r="P52" s="40"/>
      <c r="Q52" s="40"/>
      <c r="R52" s="39" t="s">
        <v>127</v>
      </c>
      <c r="S52" s="39" t="s">
        <v>1488</v>
      </c>
      <c r="T52" s="26" t="s">
        <v>308</v>
      </c>
    </row>
    <row r="53" customFormat="false" ht="15" hidden="false" customHeight="false" outlineLevel="0" collapsed="false">
      <c r="A53" s="38" t="n">
        <v>46111</v>
      </c>
      <c r="B53" s="39" t="s">
        <v>61</v>
      </c>
      <c r="C53" s="39"/>
      <c r="D53" s="39" t="s">
        <v>1526</v>
      </c>
      <c r="E53" s="39" t="s">
        <v>118</v>
      </c>
      <c r="F53" s="39" t="s">
        <v>1527</v>
      </c>
      <c r="G53" s="39"/>
      <c r="H53" s="39" t="s">
        <v>1390</v>
      </c>
      <c r="I53" s="39" t="s">
        <v>107</v>
      </c>
      <c r="J53" s="39" t="s">
        <v>73</v>
      </c>
      <c r="K53" s="39" t="s">
        <v>87</v>
      </c>
      <c r="L53" s="39" t="s">
        <v>1380</v>
      </c>
      <c r="M53" s="39" t="s">
        <v>1358</v>
      </c>
      <c r="N53" s="39"/>
      <c r="O53" s="40"/>
      <c r="P53" s="40"/>
      <c r="Q53" s="40"/>
      <c r="R53" s="39" t="s">
        <v>126</v>
      </c>
      <c r="S53" s="39" t="s">
        <v>1381</v>
      </c>
      <c r="T53" s="26" t="s">
        <v>308</v>
      </c>
    </row>
    <row r="54" customFormat="false" ht="15" hidden="false" customHeight="false" outlineLevel="0" collapsed="false">
      <c r="A54" s="38" t="n">
        <v>46111</v>
      </c>
      <c r="B54" s="39" t="s">
        <v>61</v>
      </c>
      <c r="C54" s="39"/>
      <c r="D54" s="39" t="s">
        <v>1528</v>
      </c>
      <c r="E54" s="39" t="s">
        <v>116</v>
      </c>
      <c r="F54" s="39" t="s">
        <v>1529</v>
      </c>
      <c r="G54" s="39"/>
      <c r="H54" s="39" t="s">
        <v>266</v>
      </c>
      <c r="I54" s="39" t="s">
        <v>107</v>
      </c>
      <c r="J54" s="39" t="s">
        <v>73</v>
      </c>
      <c r="K54" s="39" t="s">
        <v>87</v>
      </c>
      <c r="L54" s="39" t="s">
        <v>1380</v>
      </c>
      <c r="M54" s="39" t="s">
        <v>1358</v>
      </c>
      <c r="N54" s="39"/>
      <c r="O54" s="40"/>
      <c r="P54" s="40"/>
      <c r="Q54" s="40"/>
      <c r="R54" s="39" t="s">
        <v>126</v>
      </c>
      <c r="S54" s="39" t="s">
        <v>1386</v>
      </c>
      <c r="T54" s="26" t="s">
        <v>264</v>
      </c>
    </row>
    <row r="55" customFormat="false" ht="15" hidden="false" customHeight="false" outlineLevel="0" collapsed="false">
      <c r="A55" s="38" t="n">
        <v>46111</v>
      </c>
      <c r="B55" s="39" t="s">
        <v>58</v>
      </c>
      <c r="C55" s="39" t="s">
        <v>1332</v>
      </c>
      <c r="D55" s="39" t="s">
        <v>1530</v>
      </c>
      <c r="E55" s="39" t="s">
        <v>116</v>
      </c>
      <c r="F55" s="39" t="s">
        <v>1531</v>
      </c>
      <c r="G55" s="39" t="s">
        <v>1532</v>
      </c>
      <c r="H55" s="39" t="s">
        <v>1533</v>
      </c>
      <c r="I55" s="39" t="s">
        <v>107</v>
      </c>
      <c r="J55" s="39" t="s">
        <v>75</v>
      </c>
      <c r="K55" s="39" t="s">
        <v>95</v>
      </c>
      <c r="L55" s="39" t="s">
        <v>1518</v>
      </c>
      <c r="M55" s="39" t="s">
        <v>1336</v>
      </c>
      <c r="N55" s="39"/>
      <c r="O55" s="40"/>
      <c r="P55" s="40"/>
      <c r="Q55" s="40" t="n">
        <v>8</v>
      </c>
      <c r="R55" s="39"/>
      <c r="S55" s="39" t="s">
        <v>1534</v>
      </c>
      <c r="T55" s="26" t="s">
        <v>264</v>
      </c>
    </row>
    <row r="56" customFormat="false" ht="15" hidden="false" customHeight="false" outlineLevel="0" collapsed="false">
      <c r="A56" s="38" t="n">
        <v>46112</v>
      </c>
      <c r="B56" s="39" t="s">
        <v>61</v>
      </c>
      <c r="C56" s="39"/>
      <c r="D56" s="39" t="s">
        <v>1535</v>
      </c>
      <c r="E56" s="39" t="s">
        <v>116</v>
      </c>
      <c r="F56" s="39" t="s">
        <v>1536</v>
      </c>
      <c r="G56" s="39"/>
      <c r="H56" s="39" t="s">
        <v>1537</v>
      </c>
      <c r="I56" s="39" t="s">
        <v>108</v>
      </c>
      <c r="J56" s="39" t="s">
        <v>74</v>
      </c>
      <c r="K56" s="39" t="s">
        <v>93</v>
      </c>
      <c r="L56" s="39" t="s">
        <v>1369</v>
      </c>
      <c r="M56" s="39" t="s">
        <v>1358</v>
      </c>
      <c r="N56" s="39"/>
      <c r="O56" s="40"/>
      <c r="P56" s="40"/>
      <c r="Q56" s="40"/>
      <c r="R56" s="39" t="s">
        <v>127</v>
      </c>
      <c r="S56" s="39" t="s">
        <v>1370</v>
      </c>
      <c r="T56" s="26" t="s">
        <v>236</v>
      </c>
    </row>
    <row r="57" customFormat="false" ht="15" hidden="false" customHeight="false" outlineLevel="0" collapsed="false">
      <c r="A57" s="38" t="n">
        <v>46112</v>
      </c>
      <c r="B57" s="39" t="s">
        <v>60</v>
      </c>
      <c r="C57" s="39" t="s">
        <v>1489</v>
      </c>
      <c r="D57" s="39" t="s">
        <v>1538</v>
      </c>
      <c r="E57" s="39" t="s">
        <v>116</v>
      </c>
      <c r="F57" s="39" t="s">
        <v>1539</v>
      </c>
      <c r="G57" s="39"/>
      <c r="H57" s="39" t="s">
        <v>1540</v>
      </c>
      <c r="I57" s="39" t="s">
        <v>107</v>
      </c>
      <c r="J57" s="39" t="s">
        <v>73</v>
      </c>
      <c r="K57" s="39" t="s">
        <v>87</v>
      </c>
      <c r="L57" s="39" t="s">
        <v>1380</v>
      </c>
      <c r="M57" s="39" t="s">
        <v>1358</v>
      </c>
      <c r="N57" s="39"/>
      <c r="O57" s="40"/>
      <c r="P57" s="40"/>
      <c r="Q57" s="40"/>
      <c r="R57" s="39" t="s">
        <v>126</v>
      </c>
      <c r="S57" s="39" t="s">
        <v>1386</v>
      </c>
      <c r="T57" s="26" t="s">
        <v>308</v>
      </c>
    </row>
    <row r="58" customFormat="false" ht="15" hidden="false" customHeight="false" outlineLevel="0" collapsed="false">
      <c r="A58" s="38" t="n">
        <v>46115</v>
      </c>
      <c r="B58" s="39" t="s">
        <v>60</v>
      </c>
      <c r="C58" s="39" t="s">
        <v>1375</v>
      </c>
      <c r="D58" s="39" t="s">
        <v>1541</v>
      </c>
      <c r="E58" s="39" t="s">
        <v>116</v>
      </c>
      <c r="F58" s="39" t="s">
        <v>1542</v>
      </c>
      <c r="G58" s="39" t="s">
        <v>457</v>
      </c>
      <c r="H58" s="39" t="s">
        <v>1543</v>
      </c>
      <c r="I58" s="39" t="s">
        <v>107</v>
      </c>
      <c r="J58" s="39" t="s">
        <v>73</v>
      </c>
      <c r="K58" s="39" t="s">
        <v>87</v>
      </c>
      <c r="L58" s="39" t="s">
        <v>1380</v>
      </c>
      <c r="M58" s="39" t="s">
        <v>1358</v>
      </c>
      <c r="N58" s="39"/>
      <c r="O58" s="40"/>
      <c r="P58" s="40"/>
      <c r="Q58" s="40"/>
      <c r="R58" s="39" t="s">
        <v>126</v>
      </c>
      <c r="S58" s="39" t="s">
        <v>1386</v>
      </c>
      <c r="T58" s="26" t="s">
        <v>308</v>
      </c>
    </row>
    <row r="59" customFormat="false" ht="15" hidden="false" customHeight="false" outlineLevel="0" collapsed="false">
      <c r="A59" s="38" t="n">
        <v>46119</v>
      </c>
      <c r="B59" s="39" t="s">
        <v>59</v>
      </c>
      <c r="C59" s="39"/>
      <c r="D59" s="39" t="s">
        <v>1544</v>
      </c>
      <c r="E59" s="39" t="s">
        <v>116</v>
      </c>
      <c r="F59" s="39" t="s">
        <v>1545</v>
      </c>
      <c r="G59" s="39" t="s">
        <v>454</v>
      </c>
      <c r="H59" s="39" t="s">
        <v>1390</v>
      </c>
      <c r="I59" s="39" t="s">
        <v>107</v>
      </c>
      <c r="J59" s="39" t="s">
        <v>74</v>
      </c>
      <c r="K59" s="39" t="s">
        <v>93</v>
      </c>
      <c r="L59" s="39" t="s">
        <v>1369</v>
      </c>
      <c r="M59" s="39" t="s">
        <v>1358</v>
      </c>
      <c r="N59" s="39"/>
      <c r="O59" s="40"/>
      <c r="P59" s="40"/>
      <c r="Q59" s="40"/>
      <c r="R59" s="39" t="s">
        <v>126</v>
      </c>
      <c r="S59" s="39" t="s">
        <v>1370</v>
      </c>
      <c r="T59" s="26" t="s">
        <v>308</v>
      </c>
    </row>
    <row r="60" customFormat="false" ht="15" hidden="false" customHeight="false" outlineLevel="0" collapsed="false">
      <c r="A60" s="38" t="n">
        <v>46120</v>
      </c>
      <c r="B60" s="39" t="s">
        <v>60</v>
      </c>
      <c r="C60" s="39"/>
      <c r="D60" s="39" t="s">
        <v>1546</v>
      </c>
      <c r="E60" s="39" t="s">
        <v>116</v>
      </c>
      <c r="F60" s="39" t="s">
        <v>1547</v>
      </c>
      <c r="G60" s="39"/>
      <c r="H60" s="39" t="s">
        <v>1548</v>
      </c>
      <c r="I60" s="39" t="s">
        <v>107</v>
      </c>
      <c r="J60" s="39" t="s">
        <v>73</v>
      </c>
      <c r="K60" s="39" t="s">
        <v>87</v>
      </c>
      <c r="L60" s="39" t="s">
        <v>1380</v>
      </c>
      <c r="M60" s="39" t="s">
        <v>1358</v>
      </c>
      <c r="N60" s="39"/>
      <c r="O60" s="40"/>
      <c r="P60" s="40"/>
      <c r="Q60" s="40"/>
      <c r="R60" s="39" t="s">
        <v>126</v>
      </c>
      <c r="S60" s="39" t="s">
        <v>1386</v>
      </c>
      <c r="T60" s="26" t="s">
        <v>308</v>
      </c>
    </row>
    <row r="61" customFormat="false" ht="15" hidden="false" customHeight="false" outlineLevel="0" collapsed="false">
      <c r="A61" s="38" t="n">
        <v>46120</v>
      </c>
      <c r="B61" s="39" t="s">
        <v>59</v>
      </c>
      <c r="C61" s="39"/>
      <c r="D61" s="39" t="s">
        <v>1549</v>
      </c>
      <c r="E61" s="39" t="s">
        <v>116</v>
      </c>
      <c r="F61" s="39" t="s">
        <v>1550</v>
      </c>
      <c r="G61" s="39"/>
      <c r="H61" s="39" t="s">
        <v>1551</v>
      </c>
      <c r="I61" s="39" t="s">
        <v>107</v>
      </c>
      <c r="J61" s="39" t="s">
        <v>73</v>
      </c>
      <c r="K61" s="39" t="s">
        <v>87</v>
      </c>
      <c r="L61" s="39" t="s">
        <v>1380</v>
      </c>
      <c r="M61" s="39" t="s">
        <v>1358</v>
      </c>
      <c r="N61" s="39"/>
      <c r="O61" s="40"/>
      <c r="P61" s="40"/>
      <c r="Q61" s="40"/>
      <c r="R61" s="39" t="s">
        <v>129</v>
      </c>
      <c r="S61" s="39" t="s">
        <v>1386</v>
      </c>
      <c r="T61" s="26" t="s">
        <v>308</v>
      </c>
    </row>
    <row r="62" customFormat="false" ht="15" hidden="false" customHeight="false" outlineLevel="0" collapsed="false">
      <c r="A62" s="38" t="n">
        <v>46120</v>
      </c>
      <c r="B62" s="39" t="s">
        <v>61</v>
      </c>
      <c r="C62" s="39"/>
      <c r="D62" s="39" t="s">
        <v>1552</v>
      </c>
      <c r="E62" s="39" t="s">
        <v>116</v>
      </c>
      <c r="F62" s="39" t="s">
        <v>1553</v>
      </c>
      <c r="G62" s="39"/>
      <c r="H62" s="39" t="s">
        <v>1385</v>
      </c>
      <c r="I62" s="39" t="s">
        <v>107</v>
      </c>
      <c r="J62" s="39" t="s">
        <v>75</v>
      </c>
      <c r="K62" s="39" t="s">
        <v>95</v>
      </c>
      <c r="L62" s="39" t="s">
        <v>1554</v>
      </c>
      <c r="M62" s="39" t="s">
        <v>1358</v>
      </c>
      <c r="N62" s="39"/>
      <c r="O62" s="40"/>
      <c r="P62" s="40"/>
      <c r="Q62" s="40"/>
      <c r="R62" s="39"/>
      <c r="S62" s="39" t="s">
        <v>1555</v>
      </c>
      <c r="T62" s="26" t="s">
        <v>308</v>
      </c>
    </row>
    <row r="63" customFormat="false" ht="15" hidden="false" customHeight="false" outlineLevel="0" collapsed="false">
      <c r="A63" s="38" t="n">
        <v>46122</v>
      </c>
      <c r="B63" s="39" t="s">
        <v>61</v>
      </c>
      <c r="C63" s="39"/>
      <c r="D63" s="39" t="s">
        <v>1556</v>
      </c>
      <c r="E63" s="39" t="s">
        <v>118</v>
      </c>
      <c r="F63" s="39" t="s">
        <v>1557</v>
      </c>
      <c r="G63" s="39"/>
      <c r="H63" s="39"/>
      <c r="I63" s="39"/>
      <c r="J63" s="39" t="s">
        <v>74</v>
      </c>
      <c r="K63" s="39" t="s">
        <v>93</v>
      </c>
      <c r="L63" s="39" t="s">
        <v>1369</v>
      </c>
      <c r="M63" s="39" t="s">
        <v>1358</v>
      </c>
      <c r="N63" s="39"/>
      <c r="O63" s="40"/>
      <c r="P63" s="40"/>
      <c r="Q63" s="40"/>
      <c r="R63" s="39" t="s">
        <v>127</v>
      </c>
      <c r="S63" s="39" t="s">
        <v>1419</v>
      </c>
      <c r="T63" s="26" t="s">
        <v>308</v>
      </c>
    </row>
    <row r="64" customFormat="false" ht="15" hidden="false" customHeight="false" outlineLevel="0" collapsed="false">
      <c r="A64" s="38" t="n">
        <v>46122</v>
      </c>
      <c r="B64" s="39" t="s">
        <v>60</v>
      </c>
      <c r="C64" s="39" t="s">
        <v>1375</v>
      </c>
      <c r="D64" s="39" t="s">
        <v>1558</v>
      </c>
      <c r="E64" s="39" t="s">
        <v>118</v>
      </c>
      <c r="F64" s="39" t="s">
        <v>1559</v>
      </c>
      <c r="G64" s="39"/>
      <c r="H64" s="39" t="s">
        <v>193</v>
      </c>
      <c r="I64" s="39" t="s">
        <v>108</v>
      </c>
      <c r="J64" s="39" t="s">
        <v>73</v>
      </c>
      <c r="K64" s="39" t="s">
        <v>87</v>
      </c>
      <c r="L64" s="39" t="s">
        <v>1380</v>
      </c>
      <c r="M64" s="39" t="s">
        <v>1358</v>
      </c>
      <c r="N64" s="39"/>
      <c r="O64" s="40"/>
      <c r="P64" s="40"/>
      <c r="Q64" s="40"/>
      <c r="R64" s="39" t="s">
        <v>128</v>
      </c>
      <c r="S64" s="39" t="s">
        <v>1381</v>
      </c>
      <c r="T64" s="26" t="s">
        <v>193</v>
      </c>
    </row>
    <row r="65" customFormat="false" ht="15" hidden="false" customHeight="false" outlineLevel="0" collapsed="false">
      <c r="A65" s="38" t="n">
        <v>46125</v>
      </c>
      <c r="B65" s="39" t="s">
        <v>60</v>
      </c>
      <c r="C65" s="39" t="s">
        <v>1375</v>
      </c>
      <c r="D65" s="39" t="s">
        <v>1560</v>
      </c>
      <c r="E65" s="39" t="s">
        <v>116</v>
      </c>
      <c r="F65" s="39" t="s">
        <v>1561</v>
      </c>
      <c r="G65" s="39"/>
      <c r="H65" s="39" t="s">
        <v>1562</v>
      </c>
      <c r="I65" s="39" t="s">
        <v>107</v>
      </c>
      <c r="J65" s="39" t="s">
        <v>72</v>
      </c>
      <c r="K65" s="39" t="s">
        <v>82</v>
      </c>
      <c r="L65" s="39" t="s">
        <v>1487</v>
      </c>
      <c r="M65" s="39" t="s">
        <v>1358</v>
      </c>
      <c r="N65" s="39"/>
      <c r="O65" s="40"/>
      <c r="P65" s="40"/>
      <c r="Q65" s="40"/>
      <c r="R65" s="39" t="s">
        <v>129</v>
      </c>
      <c r="S65" s="39" t="s">
        <v>1488</v>
      </c>
      <c r="T65" s="26" t="s">
        <v>308</v>
      </c>
    </row>
    <row r="66" customFormat="false" ht="15" hidden="false" customHeight="false" outlineLevel="0" collapsed="false">
      <c r="A66" s="38" t="n">
        <v>46126</v>
      </c>
      <c r="B66" s="39" t="s">
        <v>59</v>
      </c>
      <c r="C66" s="39" t="s">
        <v>1375</v>
      </c>
      <c r="D66" s="39" t="s">
        <v>1563</v>
      </c>
      <c r="E66" s="39" t="s">
        <v>116</v>
      </c>
      <c r="F66" s="39" t="s">
        <v>1564</v>
      </c>
      <c r="G66" s="39"/>
      <c r="H66" s="39" t="s">
        <v>1565</v>
      </c>
      <c r="I66" s="39" t="s">
        <v>111</v>
      </c>
      <c r="J66" s="39" t="s">
        <v>74</v>
      </c>
      <c r="K66" s="39" t="s">
        <v>93</v>
      </c>
      <c r="L66" s="39" t="s">
        <v>1369</v>
      </c>
      <c r="M66" s="39" t="s">
        <v>1358</v>
      </c>
      <c r="N66" s="39"/>
      <c r="O66" s="40"/>
      <c r="P66" s="40"/>
      <c r="Q66" s="40"/>
      <c r="R66" s="39" t="s">
        <v>126</v>
      </c>
      <c r="S66" s="39" t="s">
        <v>1370</v>
      </c>
      <c r="T66" s="26" t="s">
        <v>308</v>
      </c>
    </row>
    <row r="67" customFormat="false" ht="15" hidden="false" customHeight="false" outlineLevel="0" collapsed="false">
      <c r="A67" s="38" t="n">
        <v>46127</v>
      </c>
      <c r="B67" s="39" t="s">
        <v>59</v>
      </c>
      <c r="C67" s="39" t="s">
        <v>1375</v>
      </c>
      <c r="D67" s="39" t="s">
        <v>1566</v>
      </c>
      <c r="E67" s="39" t="s">
        <v>116</v>
      </c>
      <c r="F67" s="39" t="s">
        <v>1567</v>
      </c>
      <c r="G67" s="39" t="s">
        <v>1568</v>
      </c>
      <c r="H67" s="39" t="s">
        <v>1569</v>
      </c>
      <c r="I67" s="39" t="s">
        <v>107</v>
      </c>
      <c r="J67" s="39" t="s">
        <v>74</v>
      </c>
      <c r="K67" s="39" t="s">
        <v>93</v>
      </c>
      <c r="L67" s="39" t="s">
        <v>1369</v>
      </c>
      <c r="M67" s="39" t="s">
        <v>1358</v>
      </c>
      <c r="N67" s="39"/>
      <c r="O67" s="40"/>
      <c r="P67" s="40"/>
      <c r="Q67" s="40"/>
      <c r="R67" s="39" t="s">
        <v>126</v>
      </c>
      <c r="S67" s="39" t="s">
        <v>1370</v>
      </c>
      <c r="T67" s="26" t="s">
        <v>308</v>
      </c>
    </row>
    <row r="68" customFormat="false" ht="15" hidden="false" customHeight="false" outlineLevel="0" collapsed="false">
      <c r="A68" s="38" t="n">
        <v>46129</v>
      </c>
      <c r="B68" s="39" t="s">
        <v>64</v>
      </c>
      <c r="C68" s="39" t="s">
        <v>1375</v>
      </c>
      <c r="D68" s="39" t="s">
        <v>1570</v>
      </c>
      <c r="E68" s="39" t="s">
        <v>116</v>
      </c>
      <c r="F68" s="39" t="s">
        <v>1571</v>
      </c>
      <c r="G68" s="39"/>
      <c r="H68" s="39" t="s">
        <v>1572</v>
      </c>
      <c r="I68" s="39" t="s">
        <v>107</v>
      </c>
      <c r="J68" s="39" t="s">
        <v>74</v>
      </c>
      <c r="K68" s="39" t="s">
        <v>93</v>
      </c>
      <c r="L68" s="39" t="s">
        <v>1369</v>
      </c>
      <c r="M68" s="39" t="s">
        <v>1358</v>
      </c>
      <c r="N68" s="39"/>
      <c r="O68" s="40"/>
      <c r="P68" s="40"/>
      <c r="Q68" s="40"/>
      <c r="R68" s="39" t="s">
        <v>129</v>
      </c>
      <c r="S68" s="39" t="s">
        <v>1370</v>
      </c>
      <c r="T68" s="26" t="s">
        <v>308</v>
      </c>
    </row>
    <row r="69" customFormat="false" ht="15" hidden="false" customHeight="false" outlineLevel="0" collapsed="false">
      <c r="A69" s="38" t="n">
        <v>46129</v>
      </c>
      <c r="B69" s="39" t="s">
        <v>59</v>
      </c>
      <c r="C69" s="39"/>
      <c r="D69" s="39" t="s">
        <v>1573</v>
      </c>
      <c r="E69" s="39" t="s">
        <v>116</v>
      </c>
      <c r="F69" s="39" t="s">
        <v>1574</v>
      </c>
      <c r="G69" s="39"/>
      <c r="H69" s="39" t="s">
        <v>279</v>
      </c>
      <c r="I69" s="39" t="s">
        <v>107</v>
      </c>
      <c r="J69" s="39" t="s">
        <v>74</v>
      </c>
      <c r="K69" s="39" t="s">
        <v>93</v>
      </c>
      <c r="L69" s="39" t="s">
        <v>1369</v>
      </c>
      <c r="M69" s="39" t="s">
        <v>1358</v>
      </c>
      <c r="N69" s="39"/>
      <c r="O69" s="40"/>
      <c r="P69" s="40"/>
      <c r="Q69" s="40"/>
      <c r="R69" s="39" t="s">
        <v>128</v>
      </c>
      <c r="S69" s="39" t="s">
        <v>1370</v>
      </c>
      <c r="T69" s="26" t="s">
        <v>279</v>
      </c>
    </row>
    <row r="70" customFormat="false" ht="15" hidden="false" customHeight="false" outlineLevel="0" collapsed="false">
      <c r="A70" s="38" t="n">
        <v>46129</v>
      </c>
      <c r="B70" s="39" t="s">
        <v>62</v>
      </c>
      <c r="C70" s="39" t="s">
        <v>62</v>
      </c>
      <c r="D70" s="39" t="s">
        <v>1575</v>
      </c>
      <c r="E70" s="39" t="s">
        <v>116</v>
      </c>
      <c r="F70" s="39" t="s">
        <v>1576</v>
      </c>
      <c r="G70" s="39"/>
      <c r="H70" s="39" t="s">
        <v>266</v>
      </c>
      <c r="I70" s="39" t="s">
        <v>107</v>
      </c>
      <c r="J70" s="39" t="s">
        <v>72</v>
      </c>
      <c r="K70" s="39" t="s">
        <v>82</v>
      </c>
      <c r="L70" s="39" t="s">
        <v>1487</v>
      </c>
      <c r="M70" s="39" t="s">
        <v>1358</v>
      </c>
      <c r="N70" s="39"/>
      <c r="O70" s="40"/>
      <c r="P70" s="40"/>
      <c r="Q70" s="40"/>
      <c r="R70" s="39" t="s">
        <v>129</v>
      </c>
      <c r="S70" s="39" t="s">
        <v>1488</v>
      </c>
      <c r="T70" s="26" t="s">
        <v>264</v>
      </c>
    </row>
    <row r="71" customFormat="false" ht="15" hidden="false" customHeight="false" outlineLevel="0" collapsed="false">
      <c r="A71" s="38" t="n">
        <v>46132</v>
      </c>
      <c r="B71" s="39" t="s">
        <v>59</v>
      </c>
      <c r="C71" s="39" t="s">
        <v>1375</v>
      </c>
      <c r="D71" s="39" t="s">
        <v>1577</v>
      </c>
      <c r="E71" s="39" t="s">
        <v>116</v>
      </c>
      <c r="F71" s="39" t="s">
        <v>1578</v>
      </c>
      <c r="G71" s="39" t="s">
        <v>442</v>
      </c>
      <c r="H71" s="39" t="s">
        <v>1579</v>
      </c>
      <c r="I71" s="39" t="s">
        <v>107</v>
      </c>
      <c r="J71" s="39" t="s">
        <v>79</v>
      </c>
      <c r="K71" s="39"/>
      <c r="L71" s="39" t="s">
        <v>1414</v>
      </c>
      <c r="M71" s="39" t="s">
        <v>1358</v>
      </c>
      <c r="N71" s="39"/>
      <c r="O71" s="40"/>
      <c r="P71" s="40"/>
      <c r="Q71" s="40"/>
      <c r="R71" s="39" t="s">
        <v>126</v>
      </c>
      <c r="S71" s="39" t="s">
        <v>1415</v>
      </c>
      <c r="T71" s="26" t="s">
        <v>308</v>
      </c>
    </row>
    <row r="72" customFormat="false" ht="15" hidden="false" customHeight="false" outlineLevel="0" collapsed="false">
      <c r="A72" s="38" t="n">
        <v>46132</v>
      </c>
      <c r="B72" s="39" t="s">
        <v>58</v>
      </c>
      <c r="C72" s="39" t="s">
        <v>1332</v>
      </c>
      <c r="D72" s="39" t="s">
        <v>1580</v>
      </c>
      <c r="E72" s="39" t="s">
        <v>116</v>
      </c>
      <c r="F72" s="39" t="s">
        <v>1581</v>
      </c>
      <c r="G72" s="39" t="s">
        <v>446</v>
      </c>
      <c r="H72" s="39" t="s">
        <v>1582</v>
      </c>
      <c r="I72" s="39" t="s">
        <v>108</v>
      </c>
      <c r="J72" s="39" t="s">
        <v>75</v>
      </c>
      <c r="K72" s="39" t="s">
        <v>95</v>
      </c>
      <c r="L72" s="39" t="s">
        <v>1583</v>
      </c>
      <c r="M72" s="39" t="s">
        <v>1336</v>
      </c>
      <c r="N72" s="39"/>
      <c r="O72" s="40"/>
      <c r="P72" s="40"/>
      <c r="Q72" s="40" t="n">
        <v>8</v>
      </c>
      <c r="R72" s="39"/>
      <c r="S72" s="39" t="s">
        <v>1584</v>
      </c>
      <c r="T72" s="26" t="s">
        <v>236</v>
      </c>
    </row>
    <row r="73" customFormat="false" ht="15" hidden="false" customHeight="false" outlineLevel="0" collapsed="false">
      <c r="A73" s="38" t="n">
        <v>46133</v>
      </c>
      <c r="B73" s="39" t="s">
        <v>59</v>
      </c>
      <c r="C73" s="39" t="s">
        <v>1375</v>
      </c>
      <c r="D73" s="39" t="s">
        <v>1585</v>
      </c>
      <c r="E73" s="39" t="s">
        <v>116</v>
      </c>
      <c r="F73" s="39" t="s">
        <v>1586</v>
      </c>
      <c r="G73" s="39" t="s">
        <v>438</v>
      </c>
      <c r="H73" s="39" t="s">
        <v>1390</v>
      </c>
      <c r="I73" s="39" t="s">
        <v>107</v>
      </c>
      <c r="J73" s="39" t="s">
        <v>73</v>
      </c>
      <c r="K73" s="39" t="s">
        <v>87</v>
      </c>
      <c r="L73" s="39" t="s">
        <v>1380</v>
      </c>
      <c r="M73" s="39" t="s">
        <v>1358</v>
      </c>
      <c r="N73" s="39"/>
      <c r="O73" s="40"/>
      <c r="P73" s="40"/>
      <c r="Q73" s="40"/>
      <c r="R73" s="39" t="s">
        <v>126</v>
      </c>
      <c r="S73" s="39" t="s">
        <v>1386</v>
      </c>
      <c r="T73" s="26" t="s">
        <v>308</v>
      </c>
    </row>
    <row r="74" customFormat="false" ht="15" hidden="false" customHeight="false" outlineLevel="0" collapsed="false">
      <c r="A74" s="38" t="n">
        <v>46134</v>
      </c>
      <c r="B74" s="39" t="s">
        <v>59</v>
      </c>
      <c r="C74" s="39" t="s">
        <v>1375</v>
      </c>
      <c r="D74" s="39" t="s">
        <v>1587</v>
      </c>
      <c r="E74" s="39" t="s">
        <v>116</v>
      </c>
      <c r="F74" s="39" t="s">
        <v>1588</v>
      </c>
      <c r="G74" s="39" t="s">
        <v>434</v>
      </c>
      <c r="H74" s="39" t="s">
        <v>1459</v>
      </c>
      <c r="I74" s="39" t="s">
        <v>107</v>
      </c>
      <c r="J74" s="39" t="s">
        <v>79</v>
      </c>
      <c r="K74" s="39"/>
      <c r="L74" s="39" t="s">
        <v>1414</v>
      </c>
      <c r="M74" s="39" t="s">
        <v>1358</v>
      </c>
      <c r="N74" s="39"/>
      <c r="O74" s="40"/>
      <c r="P74" s="40"/>
      <c r="Q74" s="40"/>
      <c r="R74" s="39" t="s">
        <v>126</v>
      </c>
      <c r="S74" s="39" t="s">
        <v>1415</v>
      </c>
      <c r="T74" s="26" t="s">
        <v>308</v>
      </c>
    </row>
    <row r="75" customFormat="false" ht="15" hidden="false" customHeight="false" outlineLevel="0" collapsed="false">
      <c r="A75" s="38" t="n">
        <v>46134</v>
      </c>
      <c r="B75" s="39" t="s">
        <v>59</v>
      </c>
      <c r="C75" s="39" t="s">
        <v>1375</v>
      </c>
      <c r="D75" s="39" t="s">
        <v>1589</v>
      </c>
      <c r="E75" s="39" t="s">
        <v>116</v>
      </c>
      <c r="F75" s="39" t="s">
        <v>1590</v>
      </c>
      <c r="G75" s="39" t="s">
        <v>430</v>
      </c>
      <c r="H75" s="39" t="s">
        <v>1591</v>
      </c>
      <c r="I75" s="39" t="s">
        <v>107</v>
      </c>
      <c r="J75" s="39" t="s">
        <v>73</v>
      </c>
      <c r="K75" s="39" t="s">
        <v>87</v>
      </c>
      <c r="L75" s="39" t="s">
        <v>1380</v>
      </c>
      <c r="M75" s="39" t="s">
        <v>1358</v>
      </c>
      <c r="N75" s="39"/>
      <c r="O75" s="40"/>
      <c r="P75" s="40"/>
      <c r="Q75" s="40"/>
      <c r="R75" s="39" t="s">
        <v>126</v>
      </c>
      <c r="S75" s="39" t="s">
        <v>1386</v>
      </c>
      <c r="T75" s="26" t="s">
        <v>308</v>
      </c>
    </row>
    <row r="76" customFormat="false" ht="15" hidden="false" customHeight="false" outlineLevel="0" collapsed="false">
      <c r="A76" s="38" t="n">
        <v>46136</v>
      </c>
      <c r="B76" s="39" t="s">
        <v>59</v>
      </c>
      <c r="C76" s="39" t="s">
        <v>1375</v>
      </c>
      <c r="D76" s="39" t="s">
        <v>1592</v>
      </c>
      <c r="E76" s="39" t="s">
        <v>116</v>
      </c>
      <c r="F76" s="39" t="s">
        <v>1593</v>
      </c>
      <c r="G76" s="39" t="s">
        <v>1594</v>
      </c>
      <c r="H76" s="39" t="s">
        <v>1595</v>
      </c>
      <c r="I76" s="39" t="s">
        <v>108</v>
      </c>
      <c r="J76" s="39" t="s">
        <v>76</v>
      </c>
      <c r="K76" s="39" t="s">
        <v>99</v>
      </c>
      <c r="L76" s="39" t="s">
        <v>1357</v>
      </c>
      <c r="M76" s="39" t="s">
        <v>1358</v>
      </c>
      <c r="N76" s="39"/>
      <c r="O76" s="40"/>
      <c r="P76" s="40"/>
      <c r="Q76" s="40"/>
      <c r="R76" s="39" t="s">
        <v>131</v>
      </c>
      <c r="S76" s="39" t="s">
        <v>1364</v>
      </c>
      <c r="T76" s="26" t="s">
        <v>236</v>
      </c>
    </row>
    <row r="77" customFormat="false" ht="15" hidden="false" customHeight="false" outlineLevel="0" collapsed="false">
      <c r="A77" s="38" t="n">
        <v>46136</v>
      </c>
      <c r="B77" s="39" t="s">
        <v>58</v>
      </c>
      <c r="C77" s="39" t="s">
        <v>1332</v>
      </c>
      <c r="D77" s="39" t="s">
        <v>1596</v>
      </c>
      <c r="E77" s="39" t="s">
        <v>116</v>
      </c>
      <c r="F77" s="39" t="s">
        <v>1597</v>
      </c>
      <c r="G77" s="39" t="s">
        <v>1598</v>
      </c>
      <c r="H77" s="39" t="s">
        <v>1517</v>
      </c>
      <c r="I77" s="39" t="s">
        <v>108</v>
      </c>
      <c r="J77" s="39" t="s">
        <v>72</v>
      </c>
      <c r="K77" s="39" t="s">
        <v>82</v>
      </c>
      <c r="L77" s="39" t="s">
        <v>1599</v>
      </c>
      <c r="M77" s="39" t="s">
        <v>1336</v>
      </c>
      <c r="N77" s="39"/>
      <c r="O77" s="40"/>
      <c r="P77" s="40"/>
      <c r="Q77" s="40" t="n">
        <v>10</v>
      </c>
      <c r="R77" s="39"/>
      <c r="S77" s="39" t="s">
        <v>1337</v>
      </c>
      <c r="T77" s="26" t="s">
        <v>236</v>
      </c>
    </row>
    <row r="78" customFormat="false" ht="15" hidden="false" customHeight="false" outlineLevel="0" collapsed="false">
      <c r="A78" s="38" t="n">
        <v>46139</v>
      </c>
      <c r="B78" s="39" t="s">
        <v>61</v>
      </c>
      <c r="C78" s="39" t="s">
        <v>1375</v>
      </c>
      <c r="D78" s="39" t="s">
        <v>1600</v>
      </c>
      <c r="E78" s="39" t="s">
        <v>116</v>
      </c>
      <c r="F78" s="39" t="s">
        <v>1601</v>
      </c>
      <c r="G78" s="39"/>
      <c r="H78" s="39" t="s">
        <v>1602</v>
      </c>
      <c r="I78" s="39" t="s">
        <v>107</v>
      </c>
      <c r="J78" s="39" t="s">
        <v>79</v>
      </c>
      <c r="K78" s="39"/>
      <c r="L78" s="39" t="s">
        <v>1403</v>
      </c>
      <c r="M78" s="39" t="s">
        <v>1358</v>
      </c>
      <c r="N78" s="39"/>
      <c r="O78" s="40"/>
      <c r="P78" s="40"/>
      <c r="Q78" s="40"/>
      <c r="R78" s="39" t="s">
        <v>129</v>
      </c>
      <c r="S78" s="39" t="s">
        <v>1603</v>
      </c>
      <c r="T78" s="26" t="s">
        <v>308</v>
      </c>
    </row>
    <row r="79" customFormat="false" ht="15" hidden="false" customHeight="false" outlineLevel="0" collapsed="false">
      <c r="A79" s="38" t="n">
        <v>46140</v>
      </c>
      <c r="B79" s="39" t="s">
        <v>60</v>
      </c>
      <c r="C79" s="39" t="s">
        <v>1375</v>
      </c>
      <c r="D79" s="39" t="s">
        <v>347</v>
      </c>
      <c r="E79" s="39" t="s">
        <v>120</v>
      </c>
      <c r="F79" s="39" t="s">
        <v>1604</v>
      </c>
      <c r="G79" s="39"/>
      <c r="H79" s="39" t="s">
        <v>1543</v>
      </c>
      <c r="I79" s="39" t="s">
        <v>107</v>
      </c>
      <c r="J79" s="39" t="s">
        <v>73</v>
      </c>
      <c r="K79" s="39" t="s">
        <v>87</v>
      </c>
      <c r="L79" s="39" t="s">
        <v>1380</v>
      </c>
      <c r="M79" s="39" t="s">
        <v>1358</v>
      </c>
      <c r="N79" s="39"/>
      <c r="O79" s="40"/>
      <c r="P79" s="40"/>
      <c r="Q79" s="40"/>
      <c r="R79" s="39" t="s">
        <v>126</v>
      </c>
      <c r="S79" s="39" t="s">
        <v>1605</v>
      </c>
      <c r="T79" s="26" t="s">
        <v>308</v>
      </c>
    </row>
    <row r="80" customFormat="false" ht="15" hidden="false" customHeight="false" outlineLevel="0" collapsed="false">
      <c r="A80" s="38" t="n">
        <v>46140</v>
      </c>
      <c r="B80" s="39" t="s">
        <v>60</v>
      </c>
      <c r="C80" s="39" t="s">
        <v>1375</v>
      </c>
      <c r="D80" s="39" t="s">
        <v>1606</v>
      </c>
      <c r="E80" s="39" t="s">
        <v>118</v>
      </c>
      <c r="F80" s="39" t="s">
        <v>1607</v>
      </c>
      <c r="G80" s="39"/>
      <c r="H80" s="39" t="s">
        <v>1390</v>
      </c>
      <c r="I80" s="39" t="s">
        <v>107</v>
      </c>
      <c r="J80" s="39" t="s">
        <v>73</v>
      </c>
      <c r="K80" s="39" t="s">
        <v>87</v>
      </c>
      <c r="L80" s="39" t="s">
        <v>1380</v>
      </c>
      <c r="M80" s="39" t="s">
        <v>1358</v>
      </c>
      <c r="N80" s="39"/>
      <c r="O80" s="40"/>
      <c r="P80" s="40"/>
      <c r="Q80" s="40"/>
      <c r="R80" s="39" t="s">
        <v>126</v>
      </c>
      <c r="S80" s="39" t="s">
        <v>1381</v>
      </c>
      <c r="T80" s="26" t="s">
        <v>308</v>
      </c>
    </row>
    <row r="81" customFormat="false" ht="15" hidden="false" customHeight="false" outlineLevel="0" collapsed="false">
      <c r="A81" s="38" t="n">
        <v>46141</v>
      </c>
      <c r="B81" s="39" t="s">
        <v>59</v>
      </c>
      <c r="C81" s="39" t="s">
        <v>1375</v>
      </c>
      <c r="D81" s="39" t="s">
        <v>1608</v>
      </c>
      <c r="E81" s="39" t="s">
        <v>116</v>
      </c>
      <c r="F81" s="39" t="s">
        <v>1609</v>
      </c>
      <c r="G81" s="39"/>
      <c r="H81" s="39"/>
      <c r="I81" s="39"/>
      <c r="J81" s="39" t="s">
        <v>76</v>
      </c>
      <c r="K81" s="39" t="s">
        <v>99</v>
      </c>
      <c r="L81" s="39" t="s">
        <v>1357</v>
      </c>
      <c r="M81" s="39" t="s">
        <v>1358</v>
      </c>
      <c r="N81" s="39"/>
      <c r="O81" s="40"/>
      <c r="P81" s="40"/>
      <c r="Q81" s="40"/>
      <c r="R81" s="39" t="s">
        <v>129</v>
      </c>
      <c r="S81" s="39" t="s">
        <v>1364</v>
      </c>
      <c r="T81" s="26" t="s">
        <v>308</v>
      </c>
    </row>
    <row r="82" customFormat="false" ht="15" hidden="false" customHeight="false" outlineLevel="0" collapsed="false">
      <c r="A82" s="38" t="n">
        <v>46142</v>
      </c>
      <c r="B82" s="39" t="s">
        <v>61</v>
      </c>
      <c r="C82" s="39" t="s">
        <v>1363</v>
      </c>
      <c r="D82" s="39" t="s">
        <v>1610</v>
      </c>
      <c r="E82" s="39" t="s">
        <v>116</v>
      </c>
      <c r="F82" s="39" t="s">
        <v>1611</v>
      </c>
      <c r="G82" s="39"/>
      <c r="H82" s="39" t="s">
        <v>1612</v>
      </c>
      <c r="I82" s="39" t="s">
        <v>107</v>
      </c>
      <c r="J82" s="39" t="s">
        <v>74</v>
      </c>
      <c r="K82" s="39" t="s">
        <v>93</v>
      </c>
      <c r="L82" s="39" t="s">
        <v>1369</v>
      </c>
      <c r="M82" s="39" t="s">
        <v>1358</v>
      </c>
      <c r="N82" s="39"/>
      <c r="O82" s="40"/>
      <c r="P82" s="40"/>
      <c r="Q82" s="40"/>
      <c r="R82" s="39" t="s">
        <v>126</v>
      </c>
      <c r="S82" s="39" t="s">
        <v>1370</v>
      </c>
      <c r="T82" s="26" t="s">
        <v>308</v>
      </c>
    </row>
    <row r="83" customFormat="false" ht="15" hidden="false" customHeight="false" outlineLevel="0" collapsed="false">
      <c r="A83" s="38" t="n">
        <v>46146</v>
      </c>
      <c r="B83" s="39" t="s">
        <v>61</v>
      </c>
      <c r="C83" s="39" t="s">
        <v>1363</v>
      </c>
      <c r="D83" s="39" t="s">
        <v>1613</v>
      </c>
      <c r="E83" s="39" t="s">
        <v>116</v>
      </c>
      <c r="F83" s="39" t="s">
        <v>1614</v>
      </c>
      <c r="G83" s="39"/>
      <c r="H83" s="39" t="s">
        <v>1615</v>
      </c>
      <c r="I83" s="39" t="s">
        <v>107</v>
      </c>
      <c r="J83" s="39" t="s">
        <v>79</v>
      </c>
      <c r="K83" s="39"/>
      <c r="L83" s="39" t="s">
        <v>1403</v>
      </c>
      <c r="M83" s="39" t="s">
        <v>1358</v>
      </c>
      <c r="N83" s="39"/>
      <c r="O83" s="40"/>
      <c r="P83" s="40"/>
      <c r="Q83" s="40"/>
      <c r="R83" s="39" t="s">
        <v>129</v>
      </c>
      <c r="S83" s="39" t="s">
        <v>1603</v>
      </c>
      <c r="T83" s="26" t="s">
        <v>308</v>
      </c>
    </row>
    <row r="84" customFormat="false" ht="15" hidden="false" customHeight="false" outlineLevel="0" collapsed="false">
      <c r="A84" s="38" t="n">
        <v>46146</v>
      </c>
      <c r="B84" s="39" t="s">
        <v>63</v>
      </c>
      <c r="C84" s="39" t="s">
        <v>1375</v>
      </c>
      <c r="D84" s="39" t="s">
        <v>1616</v>
      </c>
      <c r="E84" s="39" t="s">
        <v>116</v>
      </c>
      <c r="F84" s="39" t="s">
        <v>1617</v>
      </c>
      <c r="G84" s="39"/>
      <c r="H84" s="39" t="s">
        <v>1612</v>
      </c>
      <c r="I84" s="39" t="s">
        <v>107</v>
      </c>
      <c r="J84" s="39" t="s">
        <v>72</v>
      </c>
      <c r="K84" s="39" t="s">
        <v>82</v>
      </c>
      <c r="L84" s="39" t="s">
        <v>1487</v>
      </c>
      <c r="M84" s="39" t="s">
        <v>1358</v>
      </c>
      <c r="N84" s="39"/>
      <c r="O84" s="40"/>
      <c r="P84" s="40"/>
      <c r="Q84" s="40"/>
      <c r="R84" s="39" t="s">
        <v>126</v>
      </c>
      <c r="S84" s="39" t="s">
        <v>1488</v>
      </c>
      <c r="T84" s="26" t="s">
        <v>308</v>
      </c>
    </row>
    <row r="85" customFormat="false" ht="15" hidden="false" customHeight="false" outlineLevel="0" collapsed="false">
      <c r="A85" s="38" t="n">
        <v>46147</v>
      </c>
      <c r="B85" s="39" t="s">
        <v>63</v>
      </c>
      <c r="C85" s="39" t="s">
        <v>1375</v>
      </c>
      <c r="D85" s="39" t="s">
        <v>1618</v>
      </c>
      <c r="E85" s="39" t="s">
        <v>116</v>
      </c>
      <c r="F85" s="39" t="s">
        <v>1619</v>
      </c>
      <c r="G85" s="39"/>
      <c r="H85" s="39" t="s">
        <v>266</v>
      </c>
      <c r="I85" s="39" t="s">
        <v>107</v>
      </c>
      <c r="J85" s="39" t="s">
        <v>73</v>
      </c>
      <c r="K85" s="39" t="s">
        <v>87</v>
      </c>
      <c r="L85" s="39" t="s">
        <v>1380</v>
      </c>
      <c r="M85" s="39" t="s">
        <v>1358</v>
      </c>
      <c r="N85" s="39"/>
      <c r="O85" s="40"/>
      <c r="P85" s="40"/>
      <c r="Q85" s="40"/>
      <c r="R85" s="39" t="s">
        <v>126</v>
      </c>
      <c r="S85" s="39" t="s">
        <v>1386</v>
      </c>
      <c r="T85" s="26" t="s">
        <v>264</v>
      </c>
    </row>
    <row r="86" customFormat="false" ht="15" hidden="false" customHeight="false" outlineLevel="0" collapsed="false">
      <c r="A86" s="38" t="n">
        <v>46147</v>
      </c>
      <c r="B86" s="39" t="s">
        <v>61</v>
      </c>
      <c r="C86" s="39" t="s">
        <v>62</v>
      </c>
      <c r="D86" s="39" t="s">
        <v>1620</v>
      </c>
      <c r="E86" s="39" t="s">
        <v>116</v>
      </c>
      <c r="F86" s="39" t="s">
        <v>1621</v>
      </c>
      <c r="G86" s="39"/>
      <c r="H86" s="39" t="s">
        <v>266</v>
      </c>
      <c r="I86" s="39" t="s">
        <v>107</v>
      </c>
      <c r="J86" s="39" t="s">
        <v>72</v>
      </c>
      <c r="K86" s="39" t="s">
        <v>82</v>
      </c>
      <c r="L86" s="39" t="s">
        <v>1487</v>
      </c>
      <c r="M86" s="39" t="s">
        <v>1358</v>
      </c>
      <c r="N86" s="39"/>
      <c r="O86" s="40"/>
      <c r="P86" s="40"/>
      <c r="Q86" s="40"/>
      <c r="R86" s="39" t="s">
        <v>129</v>
      </c>
      <c r="S86" s="39" t="s">
        <v>1488</v>
      </c>
      <c r="T86" s="26" t="s">
        <v>264</v>
      </c>
    </row>
    <row r="87" customFormat="false" ht="15" hidden="false" customHeight="false" outlineLevel="0" collapsed="false">
      <c r="A87" s="38" t="n">
        <v>46147</v>
      </c>
      <c r="B87" s="39" t="s">
        <v>61</v>
      </c>
      <c r="C87" s="39" t="s">
        <v>1375</v>
      </c>
      <c r="D87" s="39" t="s">
        <v>1622</v>
      </c>
      <c r="E87" s="39" t="s">
        <v>116</v>
      </c>
      <c r="F87" s="39" t="s">
        <v>1623</v>
      </c>
      <c r="G87" s="39"/>
      <c r="H87" s="39" t="s">
        <v>1368</v>
      </c>
      <c r="I87" s="39" t="s">
        <v>107</v>
      </c>
      <c r="J87" s="39" t="s">
        <v>79</v>
      </c>
      <c r="K87" s="39"/>
      <c r="L87" s="39" t="s">
        <v>1403</v>
      </c>
      <c r="M87" s="39" t="s">
        <v>1358</v>
      </c>
      <c r="N87" s="39"/>
      <c r="O87" s="40"/>
      <c r="P87" s="40"/>
      <c r="Q87" s="40"/>
      <c r="R87" s="39" t="s">
        <v>128</v>
      </c>
      <c r="S87" s="39" t="s">
        <v>1603</v>
      </c>
      <c r="T87" s="26" t="s">
        <v>308</v>
      </c>
    </row>
    <row r="88" customFormat="false" ht="15" hidden="false" customHeight="false" outlineLevel="0" collapsed="false">
      <c r="A88" s="38" t="n">
        <v>46148</v>
      </c>
      <c r="B88" s="39" t="s">
        <v>61</v>
      </c>
      <c r="C88" s="39" t="s">
        <v>1368</v>
      </c>
      <c r="D88" s="39" t="s">
        <v>1624</v>
      </c>
      <c r="E88" s="39" t="s">
        <v>116</v>
      </c>
      <c r="F88" s="39" t="s">
        <v>1625</v>
      </c>
      <c r="G88" s="39"/>
      <c r="H88" s="39" t="s">
        <v>1626</v>
      </c>
      <c r="I88" s="39" t="s">
        <v>107</v>
      </c>
      <c r="J88" s="39" t="s">
        <v>76</v>
      </c>
      <c r="K88" s="39" t="s">
        <v>99</v>
      </c>
      <c r="L88" s="39" t="s">
        <v>1357</v>
      </c>
      <c r="M88" s="39" t="s">
        <v>1358</v>
      </c>
      <c r="N88" s="39"/>
      <c r="O88" s="40"/>
      <c r="P88" s="40"/>
      <c r="Q88" s="40"/>
      <c r="R88" s="39" t="s">
        <v>129</v>
      </c>
      <c r="S88" s="39" t="s">
        <v>1364</v>
      </c>
      <c r="T88" s="26" t="s">
        <v>308</v>
      </c>
    </row>
    <row r="89" customFormat="false" ht="15" hidden="false" customHeight="false" outlineLevel="0" collapsed="false">
      <c r="A89" s="38" t="n">
        <v>46148</v>
      </c>
      <c r="B89" s="39" t="s">
        <v>60</v>
      </c>
      <c r="C89" s="39" t="s">
        <v>1375</v>
      </c>
      <c r="D89" s="39" t="s">
        <v>1627</v>
      </c>
      <c r="E89" s="39" t="s">
        <v>116</v>
      </c>
      <c r="F89" s="39" t="s">
        <v>1628</v>
      </c>
      <c r="G89" s="39" t="s">
        <v>1629</v>
      </c>
      <c r="H89" s="39" t="s">
        <v>1630</v>
      </c>
      <c r="I89" s="39" t="s">
        <v>107</v>
      </c>
      <c r="J89" s="39" t="s">
        <v>73</v>
      </c>
      <c r="K89" s="39" t="s">
        <v>87</v>
      </c>
      <c r="L89" s="39" t="s">
        <v>1380</v>
      </c>
      <c r="M89" s="39" t="s">
        <v>1358</v>
      </c>
      <c r="N89" s="39"/>
      <c r="O89" s="40"/>
      <c r="P89" s="40"/>
      <c r="Q89" s="40"/>
      <c r="R89" s="39"/>
      <c r="S89" s="39" t="s">
        <v>1386</v>
      </c>
      <c r="T89" s="26" t="s">
        <v>308</v>
      </c>
    </row>
    <row r="90" customFormat="false" ht="15" hidden="false" customHeight="false" outlineLevel="0" collapsed="false">
      <c r="A90" s="38" t="n">
        <v>46148</v>
      </c>
      <c r="B90" s="39" t="s">
        <v>61</v>
      </c>
      <c r="C90" s="39"/>
      <c r="D90" s="39" t="s">
        <v>1631</v>
      </c>
      <c r="E90" s="39" t="s">
        <v>116</v>
      </c>
      <c r="F90" s="39" t="s">
        <v>1632</v>
      </c>
      <c r="G90" s="39"/>
      <c r="H90" s="39" t="s">
        <v>189</v>
      </c>
      <c r="I90" s="39" t="s">
        <v>109</v>
      </c>
      <c r="J90" s="39" t="s">
        <v>79</v>
      </c>
      <c r="K90" s="39"/>
      <c r="L90" s="39" t="s">
        <v>1403</v>
      </c>
      <c r="M90" s="39" t="s">
        <v>1358</v>
      </c>
      <c r="N90" s="39"/>
      <c r="O90" s="40"/>
      <c r="P90" s="40"/>
      <c r="Q90" s="40"/>
      <c r="R90" s="39" t="s">
        <v>128</v>
      </c>
      <c r="S90" s="39" t="s">
        <v>1633</v>
      </c>
      <c r="T90" s="26" t="s">
        <v>189</v>
      </c>
    </row>
    <row r="91" customFormat="false" ht="15" hidden="false" customHeight="false" outlineLevel="0" collapsed="false">
      <c r="A91" s="38" t="n">
        <v>46148</v>
      </c>
      <c r="B91" s="39" t="s">
        <v>60</v>
      </c>
      <c r="C91" s="39" t="s">
        <v>1375</v>
      </c>
      <c r="D91" s="39" t="s">
        <v>1634</v>
      </c>
      <c r="E91" s="39" t="s">
        <v>116</v>
      </c>
      <c r="F91" s="39" t="s">
        <v>1635</v>
      </c>
      <c r="G91" s="39"/>
      <c r="H91" s="39" t="s">
        <v>1477</v>
      </c>
      <c r="I91" s="39" t="s">
        <v>113</v>
      </c>
      <c r="J91" s="39" t="s">
        <v>76</v>
      </c>
      <c r="K91" s="39" t="s">
        <v>99</v>
      </c>
      <c r="L91" s="39" t="s">
        <v>1357</v>
      </c>
      <c r="M91" s="39" t="s">
        <v>1358</v>
      </c>
      <c r="N91" s="39"/>
      <c r="O91" s="40"/>
      <c r="P91" s="40"/>
      <c r="Q91" s="40"/>
      <c r="R91" s="39" t="s">
        <v>126</v>
      </c>
      <c r="S91" s="39" t="s">
        <v>1364</v>
      </c>
      <c r="T91" s="26" t="s">
        <v>308</v>
      </c>
    </row>
    <row r="92" customFormat="false" ht="15" hidden="false" customHeight="false" outlineLevel="0" collapsed="false">
      <c r="A92" s="38" t="n">
        <v>46150</v>
      </c>
      <c r="B92" s="39" t="s">
        <v>59</v>
      </c>
      <c r="C92" s="39" t="s">
        <v>1375</v>
      </c>
      <c r="D92" s="39" t="s">
        <v>1636</v>
      </c>
      <c r="E92" s="39" t="s">
        <v>116</v>
      </c>
      <c r="F92" s="39" t="s">
        <v>1637</v>
      </c>
      <c r="G92" s="39" t="s">
        <v>401</v>
      </c>
      <c r="H92" s="39" t="s">
        <v>1638</v>
      </c>
      <c r="I92" s="39" t="s">
        <v>107</v>
      </c>
      <c r="J92" s="39" t="s">
        <v>79</v>
      </c>
      <c r="K92" s="39"/>
      <c r="L92" s="39" t="s">
        <v>1414</v>
      </c>
      <c r="M92" s="39" t="s">
        <v>1358</v>
      </c>
      <c r="N92" s="39"/>
      <c r="O92" s="40"/>
      <c r="P92" s="40"/>
      <c r="Q92" s="40"/>
      <c r="R92" s="39" t="s">
        <v>129</v>
      </c>
      <c r="S92" s="39" t="s">
        <v>1415</v>
      </c>
      <c r="T92" s="26" t="s">
        <v>308</v>
      </c>
    </row>
    <row r="93" customFormat="false" ht="15" hidden="false" customHeight="false" outlineLevel="0" collapsed="false">
      <c r="A93" s="38" t="n">
        <v>46150</v>
      </c>
      <c r="B93" s="39" t="s">
        <v>61</v>
      </c>
      <c r="C93" s="39" t="s">
        <v>1639</v>
      </c>
      <c r="D93" s="39" t="s">
        <v>1640</v>
      </c>
      <c r="E93" s="39" t="s">
        <v>116</v>
      </c>
      <c r="F93" s="39" t="s">
        <v>1641</v>
      </c>
      <c r="G93" s="39"/>
      <c r="H93" s="39" t="s">
        <v>1413</v>
      </c>
      <c r="I93" s="39" t="s">
        <v>107</v>
      </c>
      <c r="J93" s="39" t="s">
        <v>76</v>
      </c>
      <c r="K93" s="39" t="s">
        <v>99</v>
      </c>
      <c r="L93" s="39" t="s">
        <v>1357</v>
      </c>
      <c r="M93" s="39" t="s">
        <v>1358</v>
      </c>
      <c r="N93" s="39"/>
      <c r="O93" s="40"/>
      <c r="P93" s="40"/>
      <c r="Q93" s="40"/>
      <c r="R93" s="39" t="s">
        <v>129</v>
      </c>
      <c r="S93" s="39" t="s">
        <v>1364</v>
      </c>
      <c r="T93" s="26" t="s">
        <v>264</v>
      </c>
    </row>
    <row r="94" customFormat="false" ht="15" hidden="false" customHeight="false" outlineLevel="0" collapsed="false">
      <c r="A94" s="38" t="n">
        <v>46153</v>
      </c>
      <c r="B94" s="39" t="s">
        <v>59</v>
      </c>
      <c r="C94" s="39" t="s">
        <v>1375</v>
      </c>
      <c r="D94" s="39" t="s">
        <v>1642</v>
      </c>
      <c r="E94" s="39" t="s">
        <v>116</v>
      </c>
      <c r="F94" s="39" t="s">
        <v>1643</v>
      </c>
      <c r="G94" s="39" t="s">
        <v>396</v>
      </c>
      <c r="H94" s="39" t="s">
        <v>1644</v>
      </c>
      <c r="I94" s="39" t="s">
        <v>107</v>
      </c>
      <c r="J94" s="39" t="s">
        <v>73</v>
      </c>
      <c r="K94" s="39" t="s">
        <v>87</v>
      </c>
      <c r="L94" s="39" t="s">
        <v>1380</v>
      </c>
      <c r="M94" s="39" t="s">
        <v>1358</v>
      </c>
      <c r="N94" s="39"/>
      <c r="O94" s="40"/>
      <c r="P94" s="40"/>
      <c r="Q94" s="40"/>
      <c r="R94" s="39" t="s">
        <v>126</v>
      </c>
      <c r="S94" s="39" t="s">
        <v>1386</v>
      </c>
      <c r="T94" s="26" t="s">
        <v>308</v>
      </c>
    </row>
    <row r="95" customFormat="false" ht="15" hidden="false" customHeight="false" outlineLevel="0" collapsed="false">
      <c r="A95" s="38" t="n">
        <v>46155</v>
      </c>
      <c r="B95" s="39" t="s">
        <v>61</v>
      </c>
      <c r="C95" s="39" t="s">
        <v>1639</v>
      </c>
      <c r="D95" s="39" t="s">
        <v>1645</v>
      </c>
      <c r="E95" s="39" t="s">
        <v>116</v>
      </c>
      <c r="F95" s="39" t="s">
        <v>1646</v>
      </c>
      <c r="G95" s="39"/>
      <c r="H95" s="39" t="s">
        <v>1413</v>
      </c>
      <c r="I95" s="39" t="s">
        <v>107</v>
      </c>
      <c r="J95" s="39" t="s">
        <v>72</v>
      </c>
      <c r="K95" s="39" t="s">
        <v>84</v>
      </c>
      <c r="L95" s="39" t="s">
        <v>84</v>
      </c>
      <c r="M95" s="39" t="s">
        <v>1358</v>
      </c>
      <c r="N95" s="39"/>
      <c r="O95" s="40"/>
      <c r="P95" s="40"/>
      <c r="Q95" s="40"/>
      <c r="R95" s="39" t="s">
        <v>129</v>
      </c>
      <c r="S95" s="39" t="s">
        <v>1647</v>
      </c>
      <c r="T95" s="26" t="s">
        <v>264</v>
      </c>
    </row>
    <row r="96" customFormat="false" ht="15" hidden="false" customHeight="false" outlineLevel="0" collapsed="false">
      <c r="A96" s="38" t="n">
        <v>46157</v>
      </c>
      <c r="B96" s="39" t="s">
        <v>61</v>
      </c>
      <c r="C96" s="39" t="s">
        <v>1375</v>
      </c>
      <c r="D96" s="39" t="s">
        <v>1648</v>
      </c>
      <c r="E96" s="39" t="s">
        <v>116</v>
      </c>
      <c r="F96" s="39" t="s">
        <v>1649</v>
      </c>
      <c r="G96" s="39"/>
      <c r="H96" s="39" t="s">
        <v>1498</v>
      </c>
      <c r="I96" s="39" t="s">
        <v>107</v>
      </c>
      <c r="J96" s="39" t="s">
        <v>75</v>
      </c>
      <c r="K96" s="39" t="s">
        <v>96</v>
      </c>
      <c r="L96" s="39" t="s">
        <v>1650</v>
      </c>
      <c r="M96" s="39" t="s">
        <v>1358</v>
      </c>
      <c r="N96" s="39"/>
      <c r="O96" s="40"/>
      <c r="P96" s="40"/>
      <c r="Q96" s="40"/>
      <c r="R96" s="39" t="s">
        <v>129</v>
      </c>
      <c r="S96" s="39" t="s">
        <v>1651</v>
      </c>
      <c r="T96" s="26" t="s">
        <v>308</v>
      </c>
    </row>
    <row r="97" customFormat="false" ht="15" hidden="false" customHeight="false" outlineLevel="0" collapsed="false">
      <c r="A97" s="38" t="n">
        <v>46157</v>
      </c>
      <c r="B97" s="39" t="s">
        <v>61</v>
      </c>
      <c r="C97" s="39"/>
      <c r="D97" s="39" t="s">
        <v>1652</v>
      </c>
      <c r="E97" s="39" t="s">
        <v>116</v>
      </c>
      <c r="F97" s="39" t="s">
        <v>1653</v>
      </c>
      <c r="G97" s="39"/>
      <c r="H97" s="39" t="s">
        <v>1654</v>
      </c>
      <c r="I97" s="39" t="s">
        <v>107</v>
      </c>
      <c r="J97" s="39" t="s">
        <v>74</v>
      </c>
      <c r="K97" s="39" t="s">
        <v>93</v>
      </c>
      <c r="L97" s="39" t="s">
        <v>1369</v>
      </c>
      <c r="M97" s="39" t="s">
        <v>1358</v>
      </c>
      <c r="N97" s="39"/>
      <c r="O97" s="40"/>
      <c r="P97" s="40"/>
      <c r="Q97" s="40"/>
      <c r="R97" s="39" t="s">
        <v>129</v>
      </c>
      <c r="S97" s="39" t="s">
        <v>1370</v>
      </c>
      <c r="T97" s="26" t="s">
        <v>308</v>
      </c>
    </row>
    <row r="98" customFormat="false" ht="15" hidden="false" customHeight="false" outlineLevel="0" collapsed="false">
      <c r="A98" s="38" t="n">
        <v>46160</v>
      </c>
      <c r="B98" s="39" t="s">
        <v>61</v>
      </c>
      <c r="C98" s="39"/>
      <c r="D98" s="39" t="s">
        <v>1655</v>
      </c>
      <c r="E98" s="39" t="s">
        <v>116</v>
      </c>
      <c r="F98" s="39" t="s">
        <v>1656</v>
      </c>
      <c r="G98" s="39"/>
      <c r="H98" s="39" t="s">
        <v>1657</v>
      </c>
      <c r="I98" s="39" t="s">
        <v>107</v>
      </c>
      <c r="J98" s="39" t="s">
        <v>73</v>
      </c>
      <c r="K98" s="39" t="s">
        <v>87</v>
      </c>
      <c r="L98" s="39" t="s">
        <v>1380</v>
      </c>
      <c r="M98" s="39" t="s">
        <v>1358</v>
      </c>
      <c r="N98" s="39"/>
      <c r="O98" s="40"/>
      <c r="P98" s="40"/>
      <c r="Q98" s="40"/>
      <c r="R98" s="39" t="s">
        <v>126</v>
      </c>
      <c r="S98" s="39" t="s">
        <v>1386</v>
      </c>
      <c r="T98" s="26" t="s">
        <v>308</v>
      </c>
    </row>
    <row r="99" customFormat="false" ht="15" hidden="false" customHeight="false" outlineLevel="0" collapsed="false">
      <c r="A99" s="38" t="n">
        <v>46160</v>
      </c>
      <c r="B99" s="39" t="s">
        <v>61</v>
      </c>
      <c r="C99" s="39" t="s">
        <v>1639</v>
      </c>
      <c r="D99" s="39" t="s">
        <v>1658</v>
      </c>
      <c r="E99" s="39" t="s">
        <v>116</v>
      </c>
      <c r="F99" s="39" t="s">
        <v>1659</v>
      </c>
      <c r="G99" s="39"/>
      <c r="H99" s="39" t="s">
        <v>266</v>
      </c>
      <c r="I99" s="39" t="s">
        <v>107</v>
      </c>
      <c r="J99" s="39" t="s">
        <v>79</v>
      </c>
      <c r="K99" s="39"/>
      <c r="L99" s="39" t="s">
        <v>1403</v>
      </c>
      <c r="M99" s="39" t="s">
        <v>1358</v>
      </c>
      <c r="N99" s="39"/>
      <c r="O99" s="40"/>
      <c r="P99" s="40"/>
      <c r="Q99" s="40"/>
      <c r="R99" s="39" t="s">
        <v>126</v>
      </c>
      <c r="S99" s="39" t="s">
        <v>1603</v>
      </c>
      <c r="T99" s="26" t="s">
        <v>264</v>
      </c>
    </row>
    <row r="100" customFormat="false" ht="15" hidden="false" customHeight="false" outlineLevel="0" collapsed="false">
      <c r="A100" s="38" t="n">
        <v>46161</v>
      </c>
      <c r="B100" s="39" t="s">
        <v>61</v>
      </c>
      <c r="C100" s="39" t="s">
        <v>1639</v>
      </c>
      <c r="D100" s="39" t="s">
        <v>1660</v>
      </c>
      <c r="E100" s="39" t="s">
        <v>118</v>
      </c>
      <c r="F100" s="39" t="s">
        <v>1661</v>
      </c>
      <c r="G100" s="39"/>
      <c r="H100" s="39" t="s">
        <v>1662</v>
      </c>
      <c r="I100" s="39" t="s">
        <v>107</v>
      </c>
      <c r="J100" s="39" t="s">
        <v>73</v>
      </c>
      <c r="K100" s="39" t="s">
        <v>87</v>
      </c>
      <c r="L100" s="39" t="s">
        <v>1380</v>
      </c>
      <c r="M100" s="39" t="s">
        <v>1358</v>
      </c>
      <c r="N100" s="39"/>
      <c r="O100" s="40"/>
      <c r="P100" s="40"/>
      <c r="Q100" s="40"/>
      <c r="R100" s="39"/>
      <c r="S100" s="39" t="s">
        <v>1381</v>
      </c>
      <c r="T100" s="26" t="s">
        <v>308</v>
      </c>
    </row>
    <row r="101" customFormat="false" ht="15" hidden="false" customHeight="false" outlineLevel="0" collapsed="false">
      <c r="A101" s="38" t="n">
        <v>46162</v>
      </c>
      <c r="B101" s="39" t="s">
        <v>59</v>
      </c>
      <c r="C101" s="39"/>
      <c r="D101" s="39" t="s">
        <v>1663</v>
      </c>
      <c r="E101" s="39" t="s">
        <v>116</v>
      </c>
      <c r="F101" s="39" t="s">
        <v>1664</v>
      </c>
      <c r="G101" s="39"/>
      <c r="H101" s="39" t="s">
        <v>1517</v>
      </c>
      <c r="I101" s="39" t="s">
        <v>108</v>
      </c>
      <c r="J101" s="39" t="s">
        <v>74</v>
      </c>
      <c r="K101" s="39" t="s">
        <v>93</v>
      </c>
      <c r="L101" s="39" t="s">
        <v>1369</v>
      </c>
      <c r="M101" s="39" t="s">
        <v>1358</v>
      </c>
      <c r="N101" s="39"/>
      <c r="O101" s="40"/>
      <c r="P101" s="40"/>
      <c r="Q101" s="40"/>
      <c r="R101" s="39" t="s">
        <v>127</v>
      </c>
      <c r="S101" s="39" t="s">
        <v>1370</v>
      </c>
      <c r="T101" s="26" t="s">
        <v>236</v>
      </c>
    </row>
    <row r="102" customFormat="false" ht="15" hidden="false" customHeight="false" outlineLevel="0" collapsed="false">
      <c r="A102" s="38" t="n">
        <v>46167</v>
      </c>
      <c r="B102" s="39" t="s">
        <v>61</v>
      </c>
      <c r="C102" s="39"/>
      <c r="D102" s="39" t="s">
        <v>1665</v>
      </c>
      <c r="E102" s="39" t="s">
        <v>116</v>
      </c>
      <c r="F102" s="39" t="s">
        <v>1666</v>
      </c>
      <c r="G102" s="39"/>
      <c r="H102" s="39" t="s">
        <v>1615</v>
      </c>
      <c r="I102" s="39" t="s">
        <v>107</v>
      </c>
      <c r="J102" s="39" t="s">
        <v>79</v>
      </c>
      <c r="K102" s="39"/>
      <c r="L102" s="39" t="s">
        <v>1403</v>
      </c>
      <c r="M102" s="39" t="s">
        <v>1358</v>
      </c>
      <c r="N102" s="39"/>
      <c r="O102" s="40"/>
      <c r="P102" s="40"/>
      <c r="Q102" s="40"/>
      <c r="R102" s="39" t="s">
        <v>126</v>
      </c>
      <c r="S102" s="39" t="s">
        <v>1603</v>
      </c>
      <c r="T102" s="26" t="s">
        <v>308</v>
      </c>
    </row>
    <row r="103" customFormat="false" ht="15" hidden="false" customHeight="false" outlineLevel="0" collapsed="false">
      <c r="A103" s="38" t="n">
        <v>46167</v>
      </c>
      <c r="B103" s="39" t="s">
        <v>61</v>
      </c>
      <c r="C103" s="39"/>
      <c r="D103" s="39" t="s">
        <v>1667</v>
      </c>
      <c r="E103" s="39" t="s">
        <v>121</v>
      </c>
      <c r="F103" s="39" t="s">
        <v>1668</v>
      </c>
      <c r="G103" s="39" t="s">
        <v>1669</v>
      </c>
      <c r="H103" s="39" t="s">
        <v>193</v>
      </c>
      <c r="I103" s="39" t="s">
        <v>108</v>
      </c>
      <c r="J103" s="39" t="s">
        <v>74</v>
      </c>
      <c r="K103" s="39" t="s">
        <v>93</v>
      </c>
      <c r="L103" s="39" t="s">
        <v>1369</v>
      </c>
      <c r="M103" s="39" t="s">
        <v>1358</v>
      </c>
      <c r="N103" s="39"/>
      <c r="O103" s="40"/>
      <c r="P103" s="40"/>
      <c r="Q103" s="40"/>
      <c r="R103" s="39" t="s">
        <v>129</v>
      </c>
      <c r="S103" s="39" t="s">
        <v>1670</v>
      </c>
      <c r="T103" s="26" t="s">
        <v>193</v>
      </c>
    </row>
    <row r="104" customFormat="false" ht="15" hidden="false" customHeight="false" outlineLevel="0" collapsed="false">
      <c r="A104" s="38" t="n">
        <v>46168</v>
      </c>
      <c r="B104" s="39" t="s">
        <v>61</v>
      </c>
      <c r="C104" s="39" t="s">
        <v>1671</v>
      </c>
      <c r="D104" s="39" t="s">
        <v>1672</v>
      </c>
      <c r="E104" s="39" t="s">
        <v>118</v>
      </c>
      <c r="F104" s="39" t="s">
        <v>1673</v>
      </c>
      <c r="G104" s="39"/>
      <c r="H104" s="39" t="s">
        <v>1602</v>
      </c>
      <c r="I104" s="39" t="s">
        <v>107</v>
      </c>
      <c r="J104" s="39" t="s">
        <v>73</v>
      </c>
      <c r="K104" s="39" t="s">
        <v>87</v>
      </c>
      <c r="L104" s="39" t="s">
        <v>1380</v>
      </c>
      <c r="M104" s="39" t="s">
        <v>1358</v>
      </c>
      <c r="N104" s="39"/>
      <c r="O104" s="40"/>
      <c r="P104" s="40"/>
      <c r="Q104" s="40"/>
      <c r="R104" s="39" t="s">
        <v>126</v>
      </c>
      <c r="S104" s="39" t="s">
        <v>1381</v>
      </c>
      <c r="T104" s="26" t="s">
        <v>308</v>
      </c>
    </row>
    <row r="105" customFormat="false" ht="15" hidden="false" customHeight="false" outlineLevel="0" collapsed="false">
      <c r="A105" s="38" t="n">
        <v>46168</v>
      </c>
      <c r="B105" s="39" t="s">
        <v>60</v>
      </c>
      <c r="C105" s="39" t="s">
        <v>1375</v>
      </c>
      <c r="D105" s="39" t="s">
        <v>1674</v>
      </c>
      <c r="E105" s="39" t="s">
        <v>116</v>
      </c>
      <c r="F105" s="39" t="s">
        <v>1675</v>
      </c>
      <c r="G105" s="39"/>
      <c r="H105" s="39" t="s">
        <v>1676</v>
      </c>
      <c r="I105" s="39" t="s">
        <v>108</v>
      </c>
      <c r="J105" s="39" t="s">
        <v>72</v>
      </c>
      <c r="K105" s="39" t="s">
        <v>85</v>
      </c>
      <c r="L105" s="39" t="s">
        <v>1439</v>
      </c>
      <c r="M105" s="39" t="s">
        <v>1358</v>
      </c>
      <c r="N105" s="39"/>
      <c r="O105" s="40"/>
      <c r="P105" s="40"/>
      <c r="Q105" s="40"/>
      <c r="R105" s="39" t="s">
        <v>128</v>
      </c>
      <c r="S105" s="39" t="s">
        <v>1440</v>
      </c>
      <c r="T105" s="26" t="s">
        <v>308</v>
      </c>
    </row>
    <row r="106" customFormat="false" ht="15" hidden="false" customHeight="false" outlineLevel="0" collapsed="false">
      <c r="A106" s="38" t="n">
        <v>46168</v>
      </c>
      <c r="B106" s="39" t="s">
        <v>59</v>
      </c>
      <c r="C106" s="39"/>
      <c r="D106" s="39" t="s">
        <v>1677</v>
      </c>
      <c r="E106" s="39" t="s">
        <v>118</v>
      </c>
      <c r="F106" s="39" t="s">
        <v>1678</v>
      </c>
      <c r="G106" s="39" t="s">
        <v>1679</v>
      </c>
      <c r="H106" s="39" t="s">
        <v>1662</v>
      </c>
      <c r="I106" s="39" t="s">
        <v>107</v>
      </c>
      <c r="J106" s="39" t="s">
        <v>72</v>
      </c>
      <c r="K106" s="39" t="s">
        <v>82</v>
      </c>
      <c r="L106" s="39" t="s">
        <v>1487</v>
      </c>
      <c r="M106" s="39" t="s">
        <v>1358</v>
      </c>
      <c r="N106" s="39"/>
      <c r="O106" s="40"/>
      <c r="P106" s="40"/>
      <c r="Q106" s="40"/>
      <c r="R106" s="39" t="s">
        <v>129</v>
      </c>
      <c r="S106" s="39" t="s">
        <v>1680</v>
      </c>
      <c r="T106" s="26" t="s">
        <v>308</v>
      </c>
    </row>
    <row r="107" customFormat="false" ht="15" hidden="false" customHeight="false" outlineLevel="0" collapsed="false">
      <c r="A107" s="38" t="n">
        <v>46169</v>
      </c>
      <c r="B107" s="39" t="s">
        <v>61</v>
      </c>
      <c r="C107" s="39" t="s">
        <v>1375</v>
      </c>
      <c r="D107" s="39" t="s">
        <v>1681</v>
      </c>
      <c r="E107" s="39" t="s">
        <v>118</v>
      </c>
      <c r="F107" s="39" t="s">
        <v>1682</v>
      </c>
      <c r="G107" s="39"/>
      <c r="H107" s="39" t="s">
        <v>1615</v>
      </c>
      <c r="I107" s="39" t="s">
        <v>107</v>
      </c>
      <c r="J107" s="39" t="s">
        <v>73</v>
      </c>
      <c r="K107" s="39" t="s">
        <v>87</v>
      </c>
      <c r="L107" s="39" t="s">
        <v>1380</v>
      </c>
      <c r="M107" s="39" t="s">
        <v>1358</v>
      </c>
      <c r="N107" s="39"/>
      <c r="O107" s="40"/>
      <c r="P107" s="40"/>
      <c r="Q107" s="40"/>
      <c r="R107" s="39" t="s">
        <v>126</v>
      </c>
      <c r="S107" s="39" t="s">
        <v>1381</v>
      </c>
      <c r="T107" s="26" t="s">
        <v>308</v>
      </c>
    </row>
    <row r="108" customFormat="false" ht="15" hidden="false" customHeight="false" outlineLevel="0" collapsed="false">
      <c r="A108" s="38" t="n">
        <v>46169</v>
      </c>
      <c r="B108" s="39" t="s">
        <v>59</v>
      </c>
      <c r="C108" s="39" t="s">
        <v>1683</v>
      </c>
      <c r="D108" s="39" t="s">
        <v>1684</v>
      </c>
      <c r="E108" s="39" t="s">
        <v>116</v>
      </c>
      <c r="F108" s="39" t="s">
        <v>1685</v>
      </c>
      <c r="G108" s="39" t="s">
        <v>1686</v>
      </c>
      <c r="H108" s="39" t="s">
        <v>1368</v>
      </c>
      <c r="I108" s="39" t="s">
        <v>107</v>
      </c>
      <c r="J108" s="39" t="s">
        <v>73</v>
      </c>
      <c r="K108" s="39" t="s">
        <v>87</v>
      </c>
      <c r="L108" s="39" t="s">
        <v>1380</v>
      </c>
      <c r="M108" s="39" t="s">
        <v>1358</v>
      </c>
      <c r="N108" s="39"/>
      <c r="O108" s="40"/>
      <c r="P108" s="40"/>
      <c r="Q108" s="40"/>
      <c r="R108" s="39" t="s">
        <v>127</v>
      </c>
      <c r="S108" s="39" t="s">
        <v>1386</v>
      </c>
      <c r="T108" s="26" t="s">
        <v>308</v>
      </c>
    </row>
    <row r="109" customFormat="false" ht="15" hidden="false" customHeight="false" outlineLevel="0" collapsed="false">
      <c r="A109" s="38" t="n">
        <v>46169</v>
      </c>
      <c r="B109" s="39" t="s">
        <v>58</v>
      </c>
      <c r="C109" s="39" t="s">
        <v>1332</v>
      </c>
      <c r="D109" s="39" t="s">
        <v>1687</v>
      </c>
      <c r="E109" s="39" t="s">
        <v>116</v>
      </c>
      <c r="F109" s="39" t="s">
        <v>1688</v>
      </c>
      <c r="G109" s="39" t="s">
        <v>1689</v>
      </c>
      <c r="H109" s="39" t="s">
        <v>1690</v>
      </c>
      <c r="I109" s="39" t="s">
        <v>107</v>
      </c>
      <c r="J109" s="39" t="s">
        <v>72</v>
      </c>
      <c r="K109" s="39" t="s">
        <v>82</v>
      </c>
      <c r="L109" s="39" t="s">
        <v>1599</v>
      </c>
      <c r="M109" s="39" t="s">
        <v>1336</v>
      </c>
      <c r="N109" s="39"/>
      <c r="O109" s="40"/>
      <c r="P109" s="40"/>
      <c r="Q109" s="40" t="n">
        <v>10</v>
      </c>
      <c r="R109" s="39"/>
      <c r="S109" s="39" t="s">
        <v>1337</v>
      </c>
      <c r="T109" s="26" t="s">
        <v>308</v>
      </c>
    </row>
    <row r="110" customFormat="false" ht="15" hidden="false" customHeight="false" outlineLevel="0" collapsed="false">
      <c r="A110" s="38" t="n">
        <v>46170</v>
      </c>
      <c r="B110" s="39" t="s">
        <v>61</v>
      </c>
      <c r="C110" s="39" t="s">
        <v>280</v>
      </c>
      <c r="D110" s="39" t="s">
        <v>1691</v>
      </c>
      <c r="E110" s="39" t="s">
        <v>118</v>
      </c>
      <c r="F110" s="39" t="s">
        <v>1692</v>
      </c>
      <c r="G110" s="39"/>
      <c r="H110" s="39" t="s">
        <v>1390</v>
      </c>
      <c r="I110" s="39" t="s">
        <v>107</v>
      </c>
      <c r="J110" s="39" t="s">
        <v>73</v>
      </c>
      <c r="K110" s="39" t="s">
        <v>87</v>
      </c>
      <c r="L110" s="39" t="s">
        <v>1380</v>
      </c>
      <c r="M110" s="39" t="s">
        <v>1358</v>
      </c>
      <c r="N110" s="39"/>
      <c r="O110" s="40"/>
      <c r="P110" s="40"/>
      <c r="Q110" s="40"/>
      <c r="R110" s="39" t="s">
        <v>126</v>
      </c>
      <c r="S110" s="39" t="s">
        <v>1381</v>
      </c>
      <c r="T110" s="26" t="s">
        <v>308</v>
      </c>
    </row>
    <row r="111" customFormat="false" ht="15" hidden="false" customHeight="false" outlineLevel="0" collapsed="false">
      <c r="A111" s="38" t="n">
        <v>46170</v>
      </c>
      <c r="B111" s="39" t="s">
        <v>60</v>
      </c>
      <c r="C111" s="39" t="s">
        <v>1375</v>
      </c>
      <c r="D111" s="39" t="s">
        <v>1693</v>
      </c>
      <c r="E111" s="39" t="s">
        <v>120</v>
      </c>
      <c r="F111" s="39" t="s">
        <v>1694</v>
      </c>
      <c r="G111" s="39"/>
      <c r="H111" s="39" t="s">
        <v>1464</v>
      </c>
      <c r="I111" s="39" t="s">
        <v>107</v>
      </c>
      <c r="J111" s="39" t="s">
        <v>76</v>
      </c>
      <c r="K111" s="39" t="s">
        <v>99</v>
      </c>
      <c r="L111" s="39" t="s">
        <v>1357</v>
      </c>
      <c r="M111" s="39" t="s">
        <v>1358</v>
      </c>
      <c r="N111" s="39"/>
      <c r="O111" s="40"/>
      <c r="P111" s="40"/>
      <c r="Q111" s="40"/>
      <c r="R111" s="39"/>
      <c r="S111" s="39" t="s">
        <v>1359</v>
      </c>
      <c r="T111" s="26" t="s">
        <v>308</v>
      </c>
    </row>
    <row r="112" customFormat="false" ht="15" hidden="false" customHeight="false" outlineLevel="0" collapsed="false">
      <c r="A112" s="38" t="n">
        <v>46177</v>
      </c>
      <c r="B112" s="39" t="s">
        <v>60</v>
      </c>
      <c r="C112" s="39" t="s">
        <v>1375</v>
      </c>
      <c r="D112" s="39" t="s">
        <v>1695</v>
      </c>
      <c r="E112" s="39" t="s">
        <v>118</v>
      </c>
      <c r="F112" s="39" t="s">
        <v>1696</v>
      </c>
      <c r="G112" s="39" t="s">
        <v>1697</v>
      </c>
      <c r="H112" s="39" t="s">
        <v>1698</v>
      </c>
      <c r="I112" s="39" t="s">
        <v>107</v>
      </c>
      <c r="J112" s="39" t="s">
        <v>73</v>
      </c>
      <c r="K112" s="39" t="s">
        <v>87</v>
      </c>
      <c r="L112" s="39" t="s">
        <v>1380</v>
      </c>
      <c r="M112" s="39" t="s">
        <v>1358</v>
      </c>
      <c r="N112" s="39"/>
      <c r="O112" s="40"/>
      <c r="P112" s="40"/>
      <c r="Q112" s="40"/>
      <c r="R112" s="39" t="s">
        <v>126</v>
      </c>
      <c r="S112" s="39" t="s">
        <v>1381</v>
      </c>
      <c r="T112" s="26" t="s">
        <v>264</v>
      </c>
    </row>
    <row r="113" customFormat="false" ht="15" hidden="false" customHeight="false" outlineLevel="0" collapsed="false">
      <c r="A113" s="38" t="n">
        <v>46177</v>
      </c>
      <c r="B113" s="39" t="s">
        <v>61</v>
      </c>
      <c r="C113" s="39" t="s">
        <v>1375</v>
      </c>
      <c r="D113" s="39" t="s">
        <v>1699</v>
      </c>
      <c r="E113" s="39" t="s">
        <v>116</v>
      </c>
      <c r="F113" s="39" t="s">
        <v>1700</v>
      </c>
      <c r="G113" s="39"/>
      <c r="H113" s="39" t="s">
        <v>1698</v>
      </c>
      <c r="I113" s="39" t="s">
        <v>107</v>
      </c>
      <c r="J113" s="39" t="s">
        <v>74</v>
      </c>
      <c r="K113" s="39" t="s">
        <v>93</v>
      </c>
      <c r="L113" s="39" t="s">
        <v>1369</v>
      </c>
      <c r="M113" s="39" t="s">
        <v>1358</v>
      </c>
      <c r="N113" s="39"/>
      <c r="O113" s="40"/>
      <c r="P113" s="40"/>
      <c r="Q113" s="40"/>
      <c r="R113" s="39" t="s">
        <v>126</v>
      </c>
      <c r="S113" s="39" t="s">
        <v>1370</v>
      </c>
      <c r="T113" s="26" t="s">
        <v>264</v>
      </c>
    </row>
    <row r="114" customFormat="false" ht="15" hidden="false" customHeight="false" outlineLevel="0" collapsed="false">
      <c r="A114" s="38" t="n">
        <v>46178</v>
      </c>
      <c r="B114" s="39" t="s">
        <v>58</v>
      </c>
      <c r="C114" s="39" t="s">
        <v>1332</v>
      </c>
      <c r="D114" s="39" t="s">
        <v>1701</v>
      </c>
      <c r="E114" s="39" t="s">
        <v>116</v>
      </c>
      <c r="F114" s="39" t="s">
        <v>1702</v>
      </c>
      <c r="G114" s="39" t="s">
        <v>1703</v>
      </c>
      <c r="H114" s="39" t="s">
        <v>1430</v>
      </c>
      <c r="I114" s="39" t="s">
        <v>108</v>
      </c>
      <c r="J114" s="39" t="s">
        <v>75</v>
      </c>
      <c r="K114" s="39" t="s">
        <v>95</v>
      </c>
      <c r="L114" s="39" t="s">
        <v>1704</v>
      </c>
      <c r="M114" s="39" t="s">
        <v>1336</v>
      </c>
      <c r="N114" s="39"/>
      <c r="O114" s="40"/>
      <c r="P114" s="40"/>
      <c r="Q114" s="40" t="n">
        <v>8</v>
      </c>
      <c r="R114" s="39"/>
      <c r="S114" s="39" t="s">
        <v>1337</v>
      </c>
      <c r="T114" s="26" t="s">
        <v>308</v>
      </c>
    </row>
    <row r="115" customFormat="false" ht="15" hidden="false" customHeight="false" outlineLevel="0" collapsed="false">
      <c r="A115" s="38" t="n">
        <v>46179</v>
      </c>
      <c r="B115" s="39" t="s">
        <v>60</v>
      </c>
      <c r="C115" s="39" t="s">
        <v>1375</v>
      </c>
      <c r="D115" s="39" t="s">
        <v>1705</v>
      </c>
      <c r="E115" s="39" t="s">
        <v>119</v>
      </c>
      <c r="F115" s="39" t="s">
        <v>1706</v>
      </c>
      <c r="G115" s="39"/>
      <c r="H115" s="39" t="s">
        <v>1707</v>
      </c>
      <c r="I115" s="39" t="s">
        <v>107</v>
      </c>
      <c r="J115" s="39" t="s">
        <v>74</v>
      </c>
      <c r="K115" s="39" t="s">
        <v>92</v>
      </c>
      <c r="L115" s="39" t="s">
        <v>1408</v>
      </c>
      <c r="M115" s="39" t="s">
        <v>1358</v>
      </c>
      <c r="N115" s="39"/>
      <c r="O115" s="40"/>
      <c r="P115" s="40"/>
      <c r="Q115" s="40"/>
      <c r="R115" s="39" t="s">
        <v>129</v>
      </c>
      <c r="S115" s="39" t="s">
        <v>1708</v>
      </c>
      <c r="T115" s="26" t="s">
        <v>308</v>
      </c>
    </row>
    <row r="116" customFormat="false" ht="15" hidden="false" customHeight="false" outlineLevel="0" collapsed="false">
      <c r="A116" s="38" t="n">
        <v>46181</v>
      </c>
      <c r="B116" s="39" t="s">
        <v>60</v>
      </c>
      <c r="C116" s="39" t="s">
        <v>1375</v>
      </c>
      <c r="D116" s="39" t="s">
        <v>1709</v>
      </c>
      <c r="E116" s="39" t="s">
        <v>116</v>
      </c>
      <c r="F116" s="39" t="s">
        <v>1710</v>
      </c>
      <c r="G116" s="39"/>
      <c r="H116" s="39" t="s">
        <v>1711</v>
      </c>
      <c r="I116" s="39" t="s">
        <v>108</v>
      </c>
      <c r="J116" s="39" t="s">
        <v>72</v>
      </c>
      <c r="K116" s="39" t="s">
        <v>83</v>
      </c>
      <c r="L116" s="39" t="s">
        <v>1712</v>
      </c>
      <c r="M116" s="39" t="s">
        <v>1358</v>
      </c>
      <c r="N116" s="39"/>
      <c r="O116" s="40"/>
      <c r="P116" s="40"/>
      <c r="Q116" s="40"/>
      <c r="R116" s="39" t="s">
        <v>128</v>
      </c>
      <c r="S116" s="39" t="s">
        <v>1713</v>
      </c>
      <c r="T116" s="26" t="s">
        <v>193</v>
      </c>
    </row>
    <row r="117" customFormat="false" ht="15" hidden="false" customHeight="false" outlineLevel="0" collapsed="false">
      <c r="A117" s="38" t="n">
        <v>46181</v>
      </c>
      <c r="B117" s="39" t="s">
        <v>60</v>
      </c>
      <c r="C117" s="39" t="s">
        <v>1375</v>
      </c>
      <c r="D117" s="39" t="s">
        <v>1714</v>
      </c>
      <c r="E117" s="39" t="s">
        <v>116</v>
      </c>
      <c r="F117" s="39" t="s">
        <v>1715</v>
      </c>
      <c r="G117" s="39"/>
      <c r="H117" s="39" t="s">
        <v>994</v>
      </c>
      <c r="I117" s="39" t="s">
        <v>109</v>
      </c>
      <c r="J117" s="39" t="s">
        <v>79</v>
      </c>
      <c r="K117" s="39"/>
      <c r="L117" s="39" t="s">
        <v>1403</v>
      </c>
      <c r="M117" s="39" t="s">
        <v>1358</v>
      </c>
      <c r="N117" s="39"/>
      <c r="O117" s="40"/>
      <c r="P117" s="40"/>
      <c r="Q117" s="40"/>
      <c r="R117" s="39" t="s">
        <v>126</v>
      </c>
      <c r="S117" s="39" t="s">
        <v>1633</v>
      </c>
      <c r="T117" s="26" t="s">
        <v>308</v>
      </c>
    </row>
    <row r="118" customFormat="false" ht="15" hidden="false" customHeight="false" outlineLevel="0" collapsed="false">
      <c r="A118" s="38" t="n">
        <v>46182</v>
      </c>
      <c r="B118" s="39" t="s">
        <v>61</v>
      </c>
      <c r="C118" s="39" t="s">
        <v>1375</v>
      </c>
      <c r="D118" s="39" t="s">
        <v>1716</v>
      </c>
      <c r="E118" s="39" t="s">
        <v>120</v>
      </c>
      <c r="F118" s="39" t="s">
        <v>1717</v>
      </c>
      <c r="G118" s="39"/>
      <c r="H118" s="39" t="s">
        <v>1379</v>
      </c>
      <c r="I118" s="39" t="s">
        <v>107</v>
      </c>
      <c r="J118" s="39" t="s">
        <v>72</v>
      </c>
      <c r="K118" s="39" t="s">
        <v>82</v>
      </c>
      <c r="L118" s="39" t="s">
        <v>1487</v>
      </c>
      <c r="M118" s="39" t="s">
        <v>1358</v>
      </c>
      <c r="N118" s="39"/>
      <c r="O118" s="40"/>
      <c r="P118" s="40"/>
      <c r="Q118" s="40"/>
      <c r="R118" s="39" t="s">
        <v>126</v>
      </c>
      <c r="S118" s="39" t="s">
        <v>1718</v>
      </c>
      <c r="T118" s="26" t="s">
        <v>308</v>
      </c>
    </row>
    <row r="119" customFormat="false" ht="15" hidden="false" customHeight="false" outlineLevel="0" collapsed="false">
      <c r="A119" s="38" t="n">
        <v>46182</v>
      </c>
      <c r="B119" s="39" t="s">
        <v>61</v>
      </c>
      <c r="C119" s="39" t="s">
        <v>1375</v>
      </c>
      <c r="D119" s="39" t="s">
        <v>1719</v>
      </c>
      <c r="E119" s="39" t="s">
        <v>120</v>
      </c>
      <c r="F119" s="39" t="s">
        <v>1720</v>
      </c>
      <c r="G119" s="39"/>
      <c r="H119" s="39" t="s">
        <v>1379</v>
      </c>
      <c r="I119" s="39" t="s">
        <v>107</v>
      </c>
      <c r="J119" s="39" t="s">
        <v>72</v>
      </c>
      <c r="K119" s="39" t="s">
        <v>82</v>
      </c>
      <c r="L119" s="39" t="s">
        <v>1487</v>
      </c>
      <c r="M119" s="39" t="s">
        <v>1358</v>
      </c>
      <c r="N119" s="39"/>
      <c r="O119" s="40"/>
      <c r="P119" s="40"/>
      <c r="Q119" s="40"/>
      <c r="R119" s="39" t="s">
        <v>129</v>
      </c>
      <c r="S119" s="39" t="s">
        <v>1721</v>
      </c>
      <c r="T119" s="26" t="s">
        <v>308</v>
      </c>
    </row>
    <row r="120" customFormat="false" ht="15" hidden="false" customHeight="false" outlineLevel="0" collapsed="false">
      <c r="A120" s="38" t="n">
        <v>46182</v>
      </c>
      <c r="B120" s="39" t="s">
        <v>61</v>
      </c>
      <c r="C120" s="39"/>
      <c r="D120" s="39" t="s">
        <v>1722</v>
      </c>
      <c r="E120" s="39" t="s">
        <v>118</v>
      </c>
      <c r="F120" s="39" t="s">
        <v>1723</v>
      </c>
      <c r="G120" s="39"/>
      <c r="H120" s="39" t="s">
        <v>1517</v>
      </c>
      <c r="I120" s="39" t="s">
        <v>108</v>
      </c>
      <c r="J120" s="39" t="s">
        <v>74</v>
      </c>
      <c r="K120" s="39" t="s">
        <v>93</v>
      </c>
      <c r="L120" s="39" t="s">
        <v>1369</v>
      </c>
      <c r="M120" s="39" t="s">
        <v>1358</v>
      </c>
      <c r="N120" s="39"/>
      <c r="O120" s="40"/>
      <c r="P120" s="40"/>
      <c r="Q120" s="40"/>
      <c r="R120" s="39" t="s">
        <v>127</v>
      </c>
      <c r="S120" s="39" t="s">
        <v>1419</v>
      </c>
      <c r="T120" s="26" t="s">
        <v>236</v>
      </c>
    </row>
    <row r="121" customFormat="false" ht="15" hidden="false" customHeight="false" outlineLevel="0" collapsed="false">
      <c r="A121" s="38" t="n">
        <v>46184</v>
      </c>
      <c r="B121" s="39" t="s">
        <v>61</v>
      </c>
      <c r="C121" s="39" t="s">
        <v>1639</v>
      </c>
      <c r="D121" s="39" t="s">
        <v>1724</v>
      </c>
      <c r="E121" s="39" t="s">
        <v>118</v>
      </c>
      <c r="F121" s="39" t="s">
        <v>1725</v>
      </c>
      <c r="G121" s="39"/>
      <c r="H121" s="39" t="s">
        <v>1707</v>
      </c>
      <c r="I121" s="39" t="s">
        <v>107</v>
      </c>
      <c r="J121" s="39" t="s">
        <v>73</v>
      </c>
      <c r="K121" s="39" t="s">
        <v>87</v>
      </c>
      <c r="L121" s="39" t="s">
        <v>1380</v>
      </c>
      <c r="M121" s="39" t="s">
        <v>1358</v>
      </c>
      <c r="N121" s="39"/>
      <c r="O121" s="40"/>
      <c r="P121" s="40"/>
      <c r="Q121" s="40"/>
      <c r="R121" s="39" t="s">
        <v>126</v>
      </c>
      <c r="S121" s="39" t="s">
        <v>1381</v>
      </c>
      <c r="T121" s="26" t="s">
        <v>308</v>
      </c>
    </row>
    <row r="122" customFormat="false" ht="15" hidden="false" customHeight="false" outlineLevel="0" collapsed="false">
      <c r="A122" s="38" t="n">
        <v>46184</v>
      </c>
      <c r="B122" s="39" t="s">
        <v>61</v>
      </c>
      <c r="C122" s="39" t="s">
        <v>1375</v>
      </c>
      <c r="D122" s="39" t="s">
        <v>1726</v>
      </c>
      <c r="E122" s="39" t="s">
        <v>116</v>
      </c>
      <c r="F122" s="39" t="s">
        <v>1727</v>
      </c>
      <c r="G122" s="39"/>
      <c r="H122" s="39" t="s">
        <v>1728</v>
      </c>
      <c r="I122" s="39" t="s">
        <v>108</v>
      </c>
      <c r="J122" s="39" t="s">
        <v>74</v>
      </c>
      <c r="K122" s="39" t="s">
        <v>93</v>
      </c>
      <c r="L122" s="39" t="s">
        <v>1369</v>
      </c>
      <c r="M122" s="39" t="s">
        <v>1358</v>
      </c>
      <c r="N122" s="39"/>
      <c r="O122" s="40"/>
      <c r="P122" s="40"/>
      <c r="Q122" s="40"/>
      <c r="R122" s="39" t="s">
        <v>128</v>
      </c>
      <c r="S122" s="39" t="s">
        <v>1370</v>
      </c>
      <c r="T122" s="26" t="s">
        <v>236</v>
      </c>
    </row>
    <row r="123" customFormat="false" ht="15" hidden="false" customHeight="false" outlineLevel="0" collapsed="false">
      <c r="A123" s="38" t="n">
        <v>46185</v>
      </c>
      <c r="B123" s="39" t="s">
        <v>61</v>
      </c>
      <c r="C123" s="39" t="s">
        <v>1638</v>
      </c>
      <c r="D123" s="39" t="s">
        <v>1729</v>
      </c>
      <c r="E123" s="39" t="s">
        <v>116</v>
      </c>
      <c r="F123" s="39" t="s">
        <v>1730</v>
      </c>
      <c r="G123" s="39"/>
      <c r="H123" s="39" t="s">
        <v>1390</v>
      </c>
      <c r="I123" s="39" t="s">
        <v>107</v>
      </c>
      <c r="J123" s="39" t="s">
        <v>75</v>
      </c>
      <c r="K123" s="39" t="s">
        <v>95</v>
      </c>
      <c r="L123" s="39" t="s">
        <v>1731</v>
      </c>
      <c r="M123" s="39" t="s">
        <v>1358</v>
      </c>
      <c r="N123" s="39"/>
      <c r="O123" s="40"/>
      <c r="P123" s="40"/>
      <c r="Q123" s="40"/>
      <c r="R123" s="39" t="s">
        <v>126</v>
      </c>
      <c r="S123" s="39" t="s">
        <v>1732</v>
      </c>
      <c r="T123" s="26" t="s">
        <v>308</v>
      </c>
    </row>
    <row r="124" customFormat="false" ht="15" hidden="false" customHeight="false" outlineLevel="0" collapsed="false">
      <c r="A124" s="38" t="n">
        <v>46189</v>
      </c>
      <c r="B124" s="39" t="s">
        <v>61</v>
      </c>
      <c r="C124" s="39" t="s">
        <v>1733</v>
      </c>
      <c r="D124" s="39" t="s">
        <v>1734</v>
      </c>
      <c r="E124" s="39" t="s">
        <v>118</v>
      </c>
      <c r="F124" s="39" t="s">
        <v>1735</v>
      </c>
      <c r="G124" s="39"/>
      <c r="H124" s="39" t="s">
        <v>1390</v>
      </c>
      <c r="I124" s="39" t="s">
        <v>107</v>
      </c>
      <c r="J124" s="39" t="s">
        <v>79</v>
      </c>
      <c r="K124" s="39"/>
      <c r="L124" s="39" t="s">
        <v>1403</v>
      </c>
      <c r="M124" s="39" t="s">
        <v>1358</v>
      </c>
      <c r="N124" s="39"/>
      <c r="O124" s="40"/>
      <c r="P124" s="40"/>
      <c r="Q124" s="40"/>
      <c r="R124" s="39" t="s">
        <v>126</v>
      </c>
      <c r="S124" s="39" t="s">
        <v>1736</v>
      </c>
      <c r="T124" s="26" t="s">
        <v>308</v>
      </c>
    </row>
    <row r="125" customFormat="false" ht="15" hidden="false" customHeight="false" outlineLevel="0" collapsed="false">
      <c r="A125" s="38" t="n">
        <v>46191</v>
      </c>
      <c r="B125" s="39" t="s">
        <v>61</v>
      </c>
      <c r="C125" s="39" t="s">
        <v>1626</v>
      </c>
      <c r="D125" s="39" t="s">
        <v>1737</v>
      </c>
      <c r="E125" s="39" t="s">
        <v>116</v>
      </c>
      <c r="F125" s="39" t="s">
        <v>1738</v>
      </c>
      <c r="G125" s="39"/>
      <c r="H125" s="39" t="s">
        <v>1626</v>
      </c>
      <c r="I125" s="39" t="s">
        <v>107</v>
      </c>
      <c r="J125" s="39" t="s">
        <v>74</v>
      </c>
      <c r="K125" s="39" t="s">
        <v>93</v>
      </c>
      <c r="L125" s="39" t="s">
        <v>1369</v>
      </c>
      <c r="M125" s="39" t="s">
        <v>1358</v>
      </c>
      <c r="N125" s="39"/>
      <c r="O125" s="40"/>
      <c r="P125" s="40"/>
      <c r="Q125" s="40"/>
      <c r="R125" s="39" t="s">
        <v>127</v>
      </c>
      <c r="S125" s="39" t="s">
        <v>1370</v>
      </c>
      <c r="T125" s="26" t="s">
        <v>308</v>
      </c>
    </row>
    <row r="126" customFormat="false" ht="15" hidden="false" customHeight="false" outlineLevel="0" collapsed="false">
      <c r="A126" s="38" t="n">
        <v>46192</v>
      </c>
      <c r="B126" s="39" t="s">
        <v>66</v>
      </c>
      <c r="C126" s="39" t="s">
        <v>189</v>
      </c>
      <c r="D126" s="39" t="s">
        <v>1739</v>
      </c>
      <c r="E126" s="39" t="s">
        <v>120</v>
      </c>
      <c r="F126" s="39" t="s">
        <v>1740</v>
      </c>
      <c r="G126" s="39"/>
      <c r="H126" s="39" t="s">
        <v>189</v>
      </c>
      <c r="I126" s="39" t="s">
        <v>109</v>
      </c>
      <c r="J126" s="39" t="s">
        <v>75</v>
      </c>
      <c r="K126" s="39" t="s">
        <v>95</v>
      </c>
      <c r="L126" s="39" t="s">
        <v>1349</v>
      </c>
      <c r="M126" s="39" t="s">
        <v>1358</v>
      </c>
      <c r="N126" s="39"/>
      <c r="O126" s="40"/>
      <c r="P126" s="40"/>
      <c r="Q126" s="40"/>
      <c r="R126" s="39" t="s">
        <v>126</v>
      </c>
      <c r="S126" s="39" t="s">
        <v>1741</v>
      </c>
      <c r="T126" s="26" t="s">
        <v>189</v>
      </c>
    </row>
    <row r="127" customFormat="false" ht="15" hidden="false" customHeight="false" outlineLevel="0" collapsed="false">
      <c r="A127" s="38" t="n">
        <v>46192</v>
      </c>
      <c r="B127" s="39" t="s">
        <v>60</v>
      </c>
      <c r="C127" s="39" t="s">
        <v>1375</v>
      </c>
      <c r="D127" s="39" t="s">
        <v>1742</v>
      </c>
      <c r="E127" s="39" t="s">
        <v>120</v>
      </c>
      <c r="F127" s="39" t="s">
        <v>1743</v>
      </c>
      <c r="G127" s="39"/>
      <c r="H127" s="39" t="s">
        <v>1744</v>
      </c>
      <c r="I127" s="39" t="s">
        <v>107</v>
      </c>
      <c r="J127" s="39" t="s">
        <v>76</v>
      </c>
      <c r="K127" s="39" t="s">
        <v>99</v>
      </c>
      <c r="L127" s="39" t="s">
        <v>1357</v>
      </c>
      <c r="M127" s="39" t="s">
        <v>1358</v>
      </c>
      <c r="N127" s="39"/>
      <c r="O127" s="40"/>
      <c r="P127" s="40"/>
      <c r="Q127" s="40"/>
      <c r="R127" s="39" t="s">
        <v>126</v>
      </c>
      <c r="S127" s="39" t="s">
        <v>1359</v>
      </c>
      <c r="T127" s="26" t="s">
        <v>308</v>
      </c>
    </row>
    <row r="128" customFormat="false" ht="15" hidden="false" customHeight="false" outlineLevel="0" collapsed="false">
      <c r="A128" s="38" t="n">
        <v>46192</v>
      </c>
      <c r="B128" s="39" t="s">
        <v>61</v>
      </c>
      <c r="C128" s="39" t="s">
        <v>1639</v>
      </c>
      <c r="D128" s="39" t="s">
        <v>1745</v>
      </c>
      <c r="E128" s="39" t="s">
        <v>116</v>
      </c>
      <c r="F128" s="39" t="s">
        <v>1746</v>
      </c>
      <c r="G128" s="39"/>
      <c r="H128" s="39" t="s">
        <v>1602</v>
      </c>
      <c r="I128" s="39" t="s">
        <v>107</v>
      </c>
      <c r="J128" s="39" t="s">
        <v>72</v>
      </c>
      <c r="K128" s="39" t="s">
        <v>84</v>
      </c>
      <c r="L128" s="39" t="s">
        <v>84</v>
      </c>
      <c r="M128" s="39" t="s">
        <v>1358</v>
      </c>
      <c r="N128" s="39"/>
      <c r="O128" s="40"/>
      <c r="P128" s="40"/>
      <c r="Q128" s="40"/>
      <c r="R128" s="39" t="s">
        <v>126</v>
      </c>
      <c r="S128" s="39" t="s">
        <v>1647</v>
      </c>
      <c r="T128" s="26" t="s">
        <v>308</v>
      </c>
    </row>
    <row r="129" customFormat="false" ht="15" hidden="false" customHeight="false" outlineLevel="0" collapsed="false">
      <c r="A129" s="38" t="n">
        <v>46196</v>
      </c>
      <c r="B129" s="39" t="s">
        <v>61</v>
      </c>
      <c r="C129" s="39" t="s">
        <v>1517</v>
      </c>
      <c r="D129" s="39" t="s">
        <v>1747</v>
      </c>
      <c r="E129" s="39" t="s">
        <v>117</v>
      </c>
      <c r="F129" s="39" t="s">
        <v>1748</v>
      </c>
      <c r="G129" s="39"/>
      <c r="H129" s="39" t="s">
        <v>1517</v>
      </c>
      <c r="I129" s="39" t="s">
        <v>108</v>
      </c>
      <c r="J129" s="39" t="s">
        <v>79</v>
      </c>
      <c r="K129" s="39"/>
      <c r="L129" s="39" t="s">
        <v>1403</v>
      </c>
      <c r="M129" s="39" t="s">
        <v>1358</v>
      </c>
      <c r="N129" s="39"/>
      <c r="O129" s="40"/>
      <c r="P129" s="40"/>
      <c r="Q129" s="40"/>
      <c r="R129" s="39" t="s">
        <v>128</v>
      </c>
      <c r="S129" s="39" t="s">
        <v>1749</v>
      </c>
      <c r="T129" s="26" t="s">
        <v>236</v>
      </c>
    </row>
    <row r="130" customFormat="false" ht="15" hidden="false" customHeight="false" outlineLevel="0" collapsed="false">
      <c r="A130" s="38" t="n">
        <v>46196</v>
      </c>
      <c r="B130" s="39" t="s">
        <v>61</v>
      </c>
      <c r="C130" s="39" t="s">
        <v>1750</v>
      </c>
      <c r="D130" s="39" t="s">
        <v>1751</v>
      </c>
      <c r="E130" s="39" t="s">
        <v>116</v>
      </c>
      <c r="F130" s="39" t="s">
        <v>1752</v>
      </c>
      <c r="G130" s="39"/>
      <c r="H130" s="39" t="s">
        <v>1753</v>
      </c>
      <c r="I130" s="39" t="s">
        <v>108</v>
      </c>
      <c r="J130" s="39" t="s">
        <v>75</v>
      </c>
      <c r="K130" s="39" t="s">
        <v>95</v>
      </c>
      <c r="L130" s="39" t="s">
        <v>1349</v>
      </c>
      <c r="M130" s="39" t="s">
        <v>1358</v>
      </c>
      <c r="N130" s="39"/>
      <c r="O130" s="40"/>
      <c r="P130" s="40"/>
      <c r="Q130" s="40"/>
      <c r="R130" s="39" t="s">
        <v>128</v>
      </c>
      <c r="S130" s="39" t="s">
        <v>1465</v>
      </c>
      <c r="T130" s="26" t="s">
        <v>308</v>
      </c>
    </row>
    <row r="131" customFormat="false" ht="15" hidden="false" customHeight="false" outlineLevel="0" collapsed="false">
      <c r="A131" s="38" t="n">
        <v>46197</v>
      </c>
      <c r="B131" s="39" t="s">
        <v>59</v>
      </c>
      <c r="C131" s="39" t="s">
        <v>1368</v>
      </c>
      <c r="D131" s="39" t="s">
        <v>1754</v>
      </c>
      <c r="E131" s="39" t="s">
        <v>116</v>
      </c>
      <c r="F131" s="39" t="s">
        <v>1755</v>
      </c>
      <c r="G131" s="39"/>
      <c r="H131" s="39" t="s">
        <v>193</v>
      </c>
      <c r="I131" s="39" t="s">
        <v>108</v>
      </c>
      <c r="J131" s="39" t="s">
        <v>79</v>
      </c>
      <c r="K131" s="39"/>
      <c r="L131" s="39" t="s">
        <v>1403</v>
      </c>
      <c r="M131" s="39" t="s">
        <v>1358</v>
      </c>
      <c r="N131" s="39"/>
      <c r="O131" s="40"/>
      <c r="P131" s="40"/>
      <c r="Q131" s="40"/>
      <c r="R131" s="39" t="s">
        <v>128</v>
      </c>
      <c r="S131" s="39" t="s">
        <v>1603</v>
      </c>
      <c r="T131" s="26" t="s">
        <v>193</v>
      </c>
    </row>
    <row r="132" customFormat="false" ht="15" hidden="false" customHeight="false" outlineLevel="0" collapsed="false">
      <c r="A132" s="38" t="n">
        <v>46197</v>
      </c>
      <c r="B132" s="39" t="s">
        <v>61</v>
      </c>
      <c r="C132" s="39" t="s">
        <v>1639</v>
      </c>
      <c r="D132" s="39" t="s">
        <v>1756</v>
      </c>
      <c r="E132" s="39" t="s">
        <v>116</v>
      </c>
      <c r="F132" s="39" t="s">
        <v>1757</v>
      </c>
      <c r="G132" s="39"/>
      <c r="H132" s="39" t="s">
        <v>1602</v>
      </c>
      <c r="I132" s="39" t="s">
        <v>107</v>
      </c>
      <c r="J132" s="39" t="s">
        <v>75</v>
      </c>
      <c r="K132" s="39" t="s">
        <v>95</v>
      </c>
      <c r="L132" s="39" t="s">
        <v>1349</v>
      </c>
      <c r="M132" s="39" t="s">
        <v>1358</v>
      </c>
      <c r="N132" s="39"/>
      <c r="O132" s="40"/>
      <c r="P132" s="40"/>
      <c r="Q132" s="40"/>
      <c r="R132" s="39" t="s">
        <v>126</v>
      </c>
      <c r="S132" s="39" t="s">
        <v>1465</v>
      </c>
      <c r="T132" s="26" t="s">
        <v>308</v>
      </c>
    </row>
    <row r="133" customFormat="false" ht="15" hidden="false" customHeight="false" outlineLevel="0" collapsed="false">
      <c r="A133" s="38" t="n">
        <v>46204</v>
      </c>
      <c r="B133" s="39" t="s">
        <v>60</v>
      </c>
      <c r="C133" s="39" t="s">
        <v>1375</v>
      </c>
      <c r="D133" s="39" t="s">
        <v>1758</v>
      </c>
      <c r="E133" s="39" t="s">
        <v>118</v>
      </c>
      <c r="F133" s="39" t="s">
        <v>1759</v>
      </c>
      <c r="G133" s="39"/>
      <c r="H133" s="39" t="s">
        <v>1760</v>
      </c>
      <c r="I133" s="39" t="s">
        <v>107</v>
      </c>
      <c r="J133" s="39" t="s">
        <v>73</v>
      </c>
      <c r="K133" s="39" t="s">
        <v>87</v>
      </c>
      <c r="L133" s="39" t="s">
        <v>1380</v>
      </c>
      <c r="M133" s="39" t="s">
        <v>1358</v>
      </c>
      <c r="N133" s="39"/>
      <c r="O133" s="40"/>
      <c r="P133" s="40"/>
      <c r="Q133" s="40"/>
      <c r="R133" s="39" t="s">
        <v>126</v>
      </c>
      <c r="S133" s="39" t="s">
        <v>1381</v>
      </c>
      <c r="T133" s="26" t="s">
        <v>308</v>
      </c>
    </row>
    <row r="134" customFormat="false" ht="15" hidden="false" customHeight="false" outlineLevel="0" collapsed="false">
      <c r="A134" s="38" t="n">
        <v>46205</v>
      </c>
      <c r="B134" s="39" t="s">
        <v>59</v>
      </c>
      <c r="C134" s="39" t="s">
        <v>1639</v>
      </c>
      <c r="D134" s="39" t="s">
        <v>1761</v>
      </c>
      <c r="E134" s="39" t="s">
        <v>116</v>
      </c>
      <c r="F134" s="39" t="s">
        <v>1762</v>
      </c>
      <c r="G134" s="39"/>
      <c r="H134" s="39" t="s">
        <v>1379</v>
      </c>
      <c r="I134" s="39" t="s">
        <v>107</v>
      </c>
      <c r="J134" s="39" t="s">
        <v>75</v>
      </c>
      <c r="K134" s="39" t="s">
        <v>96</v>
      </c>
      <c r="L134" s="39" t="s">
        <v>1650</v>
      </c>
      <c r="M134" s="39" t="s">
        <v>1358</v>
      </c>
      <c r="N134" s="39"/>
      <c r="O134" s="40"/>
      <c r="P134" s="40"/>
      <c r="Q134" s="40"/>
      <c r="R134" s="39" t="s">
        <v>126</v>
      </c>
      <c r="S134" s="39" t="s">
        <v>1651</v>
      </c>
      <c r="T134" s="26" t="s">
        <v>308</v>
      </c>
    </row>
    <row r="135" customFormat="false" ht="15" hidden="false" customHeight="false" outlineLevel="0" collapsed="false">
      <c r="A135" s="38" t="n">
        <v>46210</v>
      </c>
      <c r="B135" s="39" t="s">
        <v>59</v>
      </c>
      <c r="C135" s="39" t="s">
        <v>1375</v>
      </c>
      <c r="D135" s="39" t="s">
        <v>1763</v>
      </c>
      <c r="E135" s="39" t="s">
        <v>116</v>
      </c>
      <c r="F135" s="39" t="s">
        <v>1764</v>
      </c>
      <c r="G135" s="39"/>
      <c r="H135" s="39" t="s">
        <v>1582</v>
      </c>
      <c r="I135" s="39" t="s">
        <v>108</v>
      </c>
      <c r="J135" s="39" t="s">
        <v>74</v>
      </c>
      <c r="K135" s="39" t="s">
        <v>93</v>
      </c>
      <c r="L135" s="39" t="s">
        <v>1369</v>
      </c>
      <c r="M135" s="39" t="s">
        <v>1358</v>
      </c>
      <c r="N135" s="39"/>
      <c r="O135" s="40"/>
      <c r="P135" s="40"/>
      <c r="Q135" s="40"/>
      <c r="R135" s="39" t="s">
        <v>127</v>
      </c>
      <c r="S135" s="39" t="s">
        <v>1370</v>
      </c>
      <c r="T135" s="26" t="s">
        <v>236</v>
      </c>
    </row>
    <row r="136" customFormat="false" ht="15" hidden="false" customHeight="false" outlineLevel="0" collapsed="false">
      <c r="A136" s="38" t="n">
        <v>46211</v>
      </c>
      <c r="B136" s="39" t="s">
        <v>61</v>
      </c>
      <c r="C136" s="39" t="s">
        <v>1733</v>
      </c>
      <c r="D136" s="39" t="s">
        <v>1765</v>
      </c>
      <c r="E136" s="39" t="s">
        <v>116</v>
      </c>
      <c r="F136" s="39" t="s">
        <v>1766</v>
      </c>
      <c r="G136" s="39"/>
      <c r="H136" s="39" t="s">
        <v>1638</v>
      </c>
      <c r="I136" s="39" t="s">
        <v>107</v>
      </c>
      <c r="J136" s="39" t="s">
        <v>79</v>
      </c>
      <c r="K136" s="39"/>
      <c r="L136" s="39" t="s">
        <v>1403</v>
      </c>
      <c r="M136" s="39" t="s">
        <v>1358</v>
      </c>
      <c r="N136" s="39"/>
      <c r="O136" s="40"/>
      <c r="P136" s="40"/>
      <c r="Q136" s="40"/>
      <c r="R136" s="39" t="s">
        <v>129</v>
      </c>
      <c r="S136" s="39" t="s">
        <v>1603</v>
      </c>
      <c r="T136" s="26" t="s">
        <v>308</v>
      </c>
    </row>
    <row r="137" customFormat="false" ht="15" hidden="false" customHeight="false" outlineLevel="0" collapsed="false">
      <c r="A137" s="38" t="n">
        <v>46211</v>
      </c>
      <c r="B137" s="39" t="s">
        <v>59</v>
      </c>
      <c r="C137" s="39" t="s">
        <v>1390</v>
      </c>
      <c r="D137" s="39" t="s">
        <v>1767</v>
      </c>
      <c r="E137" s="39" t="s">
        <v>116</v>
      </c>
      <c r="F137" s="39" t="s">
        <v>1768</v>
      </c>
      <c r="G137" s="39"/>
      <c r="H137" s="39" t="s">
        <v>1390</v>
      </c>
      <c r="I137" s="39" t="s">
        <v>107</v>
      </c>
      <c r="J137" s="39" t="s">
        <v>75</v>
      </c>
      <c r="K137" s="39" t="s">
        <v>96</v>
      </c>
      <c r="L137" s="39" t="s">
        <v>1650</v>
      </c>
      <c r="M137" s="39" t="s">
        <v>1358</v>
      </c>
      <c r="N137" s="39"/>
      <c r="O137" s="40"/>
      <c r="P137" s="40"/>
      <c r="Q137" s="40"/>
      <c r="R137" s="39" t="s">
        <v>129</v>
      </c>
      <c r="S137" s="39" t="s">
        <v>1651</v>
      </c>
      <c r="T137" s="26" t="s">
        <v>308</v>
      </c>
    </row>
    <row r="138" customFormat="false" ht="15" hidden="false" customHeight="false" outlineLevel="0" collapsed="false">
      <c r="A138" s="38" t="n">
        <v>46211</v>
      </c>
      <c r="B138" s="39" t="s">
        <v>61</v>
      </c>
      <c r="C138" s="39" t="s">
        <v>1489</v>
      </c>
      <c r="D138" s="39" t="s">
        <v>1769</v>
      </c>
      <c r="E138" s="39" t="s">
        <v>116</v>
      </c>
      <c r="F138" s="39" t="s">
        <v>1770</v>
      </c>
      <c r="G138" s="39"/>
      <c r="H138" s="39" t="s">
        <v>1615</v>
      </c>
      <c r="I138" s="39" t="s">
        <v>107</v>
      </c>
      <c r="J138" s="39" t="s">
        <v>79</v>
      </c>
      <c r="K138" s="39"/>
      <c r="L138" s="39" t="s">
        <v>1414</v>
      </c>
      <c r="M138" s="39" t="s">
        <v>1358</v>
      </c>
      <c r="N138" s="39"/>
      <c r="O138" s="40"/>
      <c r="P138" s="40"/>
      <c r="Q138" s="40"/>
      <c r="R138" s="39" t="s">
        <v>126</v>
      </c>
      <c r="S138" s="39" t="s">
        <v>1415</v>
      </c>
      <c r="T138" s="26" t="s">
        <v>308</v>
      </c>
    </row>
    <row r="139" customFormat="false" ht="15" hidden="false" customHeight="false" outlineLevel="0" collapsed="false">
      <c r="A139" s="38" t="n">
        <v>46212</v>
      </c>
      <c r="B139" s="39" t="s">
        <v>61</v>
      </c>
      <c r="C139" s="39" t="s">
        <v>1639</v>
      </c>
      <c r="D139" s="39" t="s">
        <v>1771</v>
      </c>
      <c r="E139" s="39" t="s">
        <v>116</v>
      </c>
      <c r="F139" s="39" t="s">
        <v>1772</v>
      </c>
      <c r="G139" s="39"/>
      <c r="H139" s="39" t="s">
        <v>1662</v>
      </c>
      <c r="I139" s="39" t="s">
        <v>107</v>
      </c>
      <c r="J139" s="39" t="s">
        <v>75</v>
      </c>
      <c r="K139" s="39" t="s">
        <v>96</v>
      </c>
      <c r="L139" s="39" t="s">
        <v>1650</v>
      </c>
      <c r="M139" s="39" t="s">
        <v>1358</v>
      </c>
      <c r="N139" s="39"/>
      <c r="O139" s="40"/>
      <c r="P139" s="40"/>
      <c r="Q139" s="40"/>
      <c r="R139" s="39" t="s">
        <v>129</v>
      </c>
      <c r="S139" s="39" t="s">
        <v>1651</v>
      </c>
      <c r="T139" s="26" t="s">
        <v>308</v>
      </c>
    </row>
    <row r="140" customFormat="false" ht="15" hidden="false" customHeight="false" outlineLevel="0" collapsed="false">
      <c r="A140" s="38" t="n">
        <v>46212</v>
      </c>
      <c r="B140" s="39" t="s">
        <v>61</v>
      </c>
      <c r="C140" s="39" t="s">
        <v>1375</v>
      </c>
      <c r="D140" s="39" t="s">
        <v>1773</v>
      </c>
      <c r="E140" s="39" t="s">
        <v>116</v>
      </c>
      <c r="F140" s="39" t="s">
        <v>1774</v>
      </c>
      <c r="G140" s="39"/>
      <c r="H140" s="39" t="s">
        <v>1602</v>
      </c>
      <c r="I140" s="39" t="s">
        <v>107</v>
      </c>
      <c r="J140" s="39" t="s">
        <v>72</v>
      </c>
      <c r="K140" s="39" t="s">
        <v>84</v>
      </c>
      <c r="L140" s="39" t="s">
        <v>84</v>
      </c>
      <c r="M140" s="39" t="s">
        <v>1358</v>
      </c>
      <c r="N140" s="39"/>
      <c r="O140" s="40"/>
      <c r="P140" s="40"/>
      <c r="Q140" s="40"/>
      <c r="R140" s="39" t="s">
        <v>129</v>
      </c>
      <c r="S140" s="39" t="s">
        <v>1647</v>
      </c>
      <c r="T140" s="26" t="s">
        <v>308</v>
      </c>
    </row>
    <row r="141" customFormat="false" ht="15" hidden="false" customHeight="false" outlineLevel="0" collapsed="false">
      <c r="A141" s="38" t="n">
        <v>46216</v>
      </c>
      <c r="B141" s="39" t="s">
        <v>59</v>
      </c>
      <c r="C141" s="39" t="s">
        <v>1375</v>
      </c>
      <c r="D141" s="39" t="s">
        <v>1775</v>
      </c>
      <c r="E141" s="39" t="s">
        <v>120</v>
      </c>
      <c r="F141" s="39" t="s">
        <v>1776</v>
      </c>
      <c r="G141" s="39"/>
      <c r="H141" s="39" t="s">
        <v>1698</v>
      </c>
      <c r="I141" s="39" t="s">
        <v>107</v>
      </c>
      <c r="J141" s="39" t="s">
        <v>74</v>
      </c>
      <c r="K141" s="39" t="s">
        <v>93</v>
      </c>
      <c r="L141" s="39" t="s">
        <v>1369</v>
      </c>
      <c r="M141" s="39" t="s">
        <v>1358</v>
      </c>
      <c r="N141" s="39"/>
      <c r="O141" s="40"/>
      <c r="P141" s="40"/>
      <c r="Q141" s="40"/>
      <c r="R141" s="39" t="s">
        <v>129</v>
      </c>
      <c r="S141" s="39" t="s">
        <v>1455</v>
      </c>
      <c r="T141" s="26" t="s">
        <v>264</v>
      </c>
    </row>
    <row r="142" customFormat="false" ht="15" hidden="false" customHeight="false" outlineLevel="0" collapsed="false">
      <c r="A142" s="38" t="n">
        <v>46217</v>
      </c>
      <c r="B142" s="39" t="s">
        <v>61</v>
      </c>
      <c r="C142" s="39" t="s">
        <v>1390</v>
      </c>
      <c r="D142" s="39" t="s">
        <v>1777</v>
      </c>
      <c r="E142" s="39" t="s">
        <v>120</v>
      </c>
      <c r="F142" s="39" t="s">
        <v>1778</v>
      </c>
      <c r="G142" s="39"/>
      <c r="H142" s="39" t="s">
        <v>1390</v>
      </c>
      <c r="I142" s="39" t="s">
        <v>107</v>
      </c>
      <c r="J142" s="39" t="s">
        <v>74</v>
      </c>
      <c r="K142" s="39" t="s">
        <v>92</v>
      </c>
      <c r="L142" s="39" t="s">
        <v>1408</v>
      </c>
      <c r="M142" s="39" t="s">
        <v>1358</v>
      </c>
      <c r="N142" s="39"/>
      <c r="O142" s="40"/>
      <c r="P142" s="40"/>
      <c r="Q142" s="40"/>
      <c r="R142" s="39" t="s">
        <v>129</v>
      </c>
      <c r="S142" s="39" t="s">
        <v>1779</v>
      </c>
      <c r="T142" s="26" t="s">
        <v>308</v>
      </c>
    </row>
    <row r="143" customFormat="false" ht="15" hidden="false" customHeight="false" outlineLevel="0" collapsed="false">
      <c r="A143" s="38" t="n">
        <v>46217</v>
      </c>
      <c r="B143" s="39" t="s">
        <v>59</v>
      </c>
      <c r="C143" s="39" t="s">
        <v>1489</v>
      </c>
      <c r="D143" s="39" t="s">
        <v>1780</v>
      </c>
      <c r="E143" s="39" t="s">
        <v>116</v>
      </c>
      <c r="F143" s="39" t="s">
        <v>1781</v>
      </c>
      <c r="G143" s="39"/>
      <c r="H143" s="39" t="s">
        <v>1517</v>
      </c>
      <c r="I143" s="39" t="s">
        <v>108</v>
      </c>
      <c r="J143" s="39" t="s">
        <v>79</v>
      </c>
      <c r="K143" s="39"/>
      <c r="L143" s="39" t="s">
        <v>1403</v>
      </c>
      <c r="M143" s="39" t="s">
        <v>1358</v>
      </c>
      <c r="N143" s="39"/>
      <c r="O143" s="40"/>
      <c r="P143" s="40"/>
      <c r="Q143" s="40"/>
      <c r="R143" s="39" t="s">
        <v>127</v>
      </c>
      <c r="S143" s="39" t="s">
        <v>1603</v>
      </c>
      <c r="T143" s="26" t="s">
        <v>236</v>
      </c>
    </row>
    <row r="144" customFormat="false" ht="15" hidden="false" customHeight="false" outlineLevel="0" collapsed="false">
      <c r="A144" s="38" t="n">
        <v>46219</v>
      </c>
      <c r="B144" s="39" t="s">
        <v>61</v>
      </c>
      <c r="C144" s="39" t="s">
        <v>1375</v>
      </c>
      <c r="D144" s="39" t="s">
        <v>1722</v>
      </c>
      <c r="E144" s="39" t="s">
        <v>118</v>
      </c>
      <c r="F144" s="39" t="s">
        <v>1782</v>
      </c>
      <c r="G144" s="39"/>
      <c r="H144" s="39" t="s">
        <v>1517</v>
      </c>
      <c r="I144" s="39" t="s">
        <v>108</v>
      </c>
      <c r="J144" s="39" t="s">
        <v>74</v>
      </c>
      <c r="K144" s="39" t="s">
        <v>93</v>
      </c>
      <c r="L144" s="39" t="s">
        <v>1369</v>
      </c>
      <c r="M144" s="39" t="s">
        <v>1358</v>
      </c>
      <c r="N144" s="39"/>
      <c r="O144" s="40"/>
      <c r="P144" s="40"/>
      <c r="Q144" s="40"/>
      <c r="R144" s="39" t="s">
        <v>127</v>
      </c>
      <c r="S144" s="39" t="s">
        <v>1419</v>
      </c>
      <c r="T144" s="26" t="s">
        <v>236</v>
      </c>
    </row>
    <row r="145" customFormat="false" ht="15" hidden="false" customHeight="false" outlineLevel="0" collapsed="false">
      <c r="A145" s="38" t="n">
        <v>46219</v>
      </c>
      <c r="B145" s="39" t="s">
        <v>60</v>
      </c>
      <c r="C145" s="39" t="s">
        <v>1489</v>
      </c>
      <c r="D145" s="39" t="s">
        <v>1783</v>
      </c>
      <c r="E145" s="39" t="s">
        <v>116</v>
      </c>
      <c r="F145" s="39" t="s">
        <v>1784</v>
      </c>
      <c r="G145" s="39"/>
      <c r="H145" s="39" t="s">
        <v>1379</v>
      </c>
      <c r="I145" s="39" t="s">
        <v>107</v>
      </c>
      <c r="J145" s="39" t="s">
        <v>75</v>
      </c>
      <c r="K145" s="39" t="s">
        <v>95</v>
      </c>
      <c r="L145" s="39" t="s">
        <v>1349</v>
      </c>
      <c r="M145" s="39" t="s">
        <v>1358</v>
      </c>
      <c r="N145" s="39"/>
      <c r="O145" s="40"/>
      <c r="P145" s="40"/>
      <c r="Q145" s="40"/>
      <c r="R145" s="39" t="s">
        <v>129</v>
      </c>
      <c r="S145" s="39" t="s">
        <v>1465</v>
      </c>
      <c r="T145" s="26" t="s">
        <v>308</v>
      </c>
    </row>
    <row r="146" customFormat="false" ht="15" hidden="false" customHeight="false" outlineLevel="0" collapsed="false">
      <c r="A146" s="38" t="n">
        <v>46219</v>
      </c>
      <c r="B146" s="39" t="s">
        <v>61</v>
      </c>
      <c r="C146" s="39" t="s">
        <v>1375</v>
      </c>
      <c r="D146" s="39" t="s">
        <v>1785</v>
      </c>
      <c r="E146" s="39" t="s">
        <v>116</v>
      </c>
      <c r="F146" s="39" t="s">
        <v>1786</v>
      </c>
      <c r="G146" s="39"/>
      <c r="H146" s="39" t="s">
        <v>279</v>
      </c>
      <c r="I146" s="39" t="s">
        <v>107</v>
      </c>
      <c r="J146" s="39" t="s">
        <v>74</v>
      </c>
      <c r="K146" s="39" t="s">
        <v>93</v>
      </c>
      <c r="L146" s="39" t="s">
        <v>1369</v>
      </c>
      <c r="M146" s="39" t="s">
        <v>1358</v>
      </c>
      <c r="N146" s="39"/>
      <c r="O146" s="40"/>
      <c r="P146" s="40"/>
      <c r="Q146" s="40"/>
      <c r="R146" s="39" t="s">
        <v>129</v>
      </c>
      <c r="S146" s="39" t="s">
        <v>1370</v>
      </c>
      <c r="T146" s="26" t="s">
        <v>279</v>
      </c>
    </row>
    <row r="147" customFormat="false" ht="15" hidden="false" customHeight="false" outlineLevel="0" collapsed="false">
      <c r="A147" s="38" t="n">
        <v>46219</v>
      </c>
      <c r="B147" s="39" t="s">
        <v>59</v>
      </c>
      <c r="C147" s="39" t="s">
        <v>1375</v>
      </c>
      <c r="D147" s="39" t="s">
        <v>1787</v>
      </c>
      <c r="E147" s="39" t="s">
        <v>119</v>
      </c>
      <c r="F147" s="39" t="s">
        <v>1788</v>
      </c>
      <c r="G147" s="39" t="s">
        <v>350</v>
      </c>
      <c r="H147" s="39" t="s">
        <v>1390</v>
      </c>
      <c r="I147" s="39" t="s">
        <v>107</v>
      </c>
      <c r="J147" s="39" t="s">
        <v>73</v>
      </c>
      <c r="K147" s="39" t="s">
        <v>87</v>
      </c>
      <c r="L147" s="39" t="s">
        <v>1380</v>
      </c>
      <c r="M147" s="39" t="s">
        <v>1358</v>
      </c>
      <c r="N147" s="39"/>
      <c r="O147" s="40"/>
      <c r="P147" s="40"/>
      <c r="Q147" s="40"/>
      <c r="R147" s="39" t="s">
        <v>126</v>
      </c>
      <c r="S147" s="39" t="s">
        <v>1789</v>
      </c>
      <c r="T147" s="26" t="s">
        <v>308</v>
      </c>
    </row>
    <row r="148" customFormat="false" ht="15" hidden="false" customHeight="false" outlineLevel="0" collapsed="false">
      <c r="A148" s="38" t="n">
        <v>46224</v>
      </c>
      <c r="B148" s="39" t="s">
        <v>65</v>
      </c>
      <c r="C148" s="39" t="s">
        <v>1543</v>
      </c>
      <c r="D148" s="39" t="s">
        <v>1790</v>
      </c>
      <c r="E148" s="39" t="s">
        <v>116</v>
      </c>
      <c r="F148" s="39" t="s">
        <v>1791</v>
      </c>
      <c r="G148" s="39"/>
      <c r="H148" s="39" t="s">
        <v>1379</v>
      </c>
      <c r="I148" s="39" t="s">
        <v>107</v>
      </c>
      <c r="J148" s="39" t="s">
        <v>72</v>
      </c>
      <c r="K148" s="39" t="s">
        <v>84</v>
      </c>
      <c r="L148" s="39" t="s">
        <v>84</v>
      </c>
      <c r="M148" s="39" t="s">
        <v>1358</v>
      </c>
      <c r="N148" s="39"/>
      <c r="O148" s="40"/>
      <c r="P148" s="40"/>
      <c r="Q148" s="40"/>
      <c r="R148" s="39" t="s">
        <v>129</v>
      </c>
      <c r="S148" s="39" t="s">
        <v>1647</v>
      </c>
      <c r="T148" s="26" t="s">
        <v>308</v>
      </c>
    </row>
    <row r="149" customFormat="false" ht="15" hidden="false" customHeight="false" outlineLevel="0" collapsed="false">
      <c r="A149" s="38" t="n">
        <v>46225</v>
      </c>
      <c r="B149" s="39" t="s">
        <v>60</v>
      </c>
      <c r="C149" s="39" t="s">
        <v>1375</v>
      </c>
      <c r="D149" s="39" t="s">
        <v>1792</v>
      </c>
      <c r="E149" s="39" t="s">
        <v>118</v>
      </c>
      <c r="F149" s="39" t="s">
        <v>1793</v>
      </c>
      <c r="G149" s="39"/>
      <c r="H149" s="39" t="s">
        <v>1454</v>
      </c>
      <c r="I149" s="39" t="s">
        <v>108</v>
      </c>
      <c r="J149" s="39" t="s">
        <v>74</v>
      </c>
      <c r="K149" s="39" t="s">
        <v>93</v>
      </c>
      <c r="L149" s="39" t="s">
        <v>1369</v>
      </c>
      <c r="M149" s="39" t="s">
        <v>1358</v>
      </c>
      <c r="N149" s="39"/>
      <c r="O149" s="40"/>
      <c r="P149" s="40"/>
      <c r="Q149" s="40"/>
      <c r="R149" s="39" t="s">
        <v>128</v>
      </c>
      <c r="S149" s="39" t="s">
        <v>1419</v>
      </c>
      <c r="T149" s="26" t="s">
        <v>308</v>
      </c>
    </row>
    <row r="150" customFormat="false" ht="15" hidden="false" customHeight="false" outlineLevel="0" collapsed="false">
      <c r="A150" s="38" t="n">
        <v>46225</v>
      </c>
      <c r="B150" s="39" t="s">
        <v>60</v>
      </c>
      <c r="C150" s="39" t="s">
        <v>1375</v>
      </c>
      <c r="D150" s="39" t="s">
        <v>1794</v>
      </c>
      <c r="E150" s="39" t="s">
        <v>118</v>
      </c>
      <c r="F150" s="39" t="s">
        <v>1795</v>
      </c>
      <c r="G150" s="39"/>
      <c r="H150" s="39" t="s">
        <v>189</v>
      </c>
      <c r="I150" s="39" t="s">
        <v>109</v>
      </c>
      <c r="J150" s="39" t="s">
        <v>79</v>
      </c>
      <c r="K150" s="39"/>
      <c r="L150" s="39" t="s">
        <v>1403</v>
      </c>
      <c r="M150" s="39" t="s">
        <v>1358</v>
      </c>
      <c r="N150" s="39"/>
      <c r="O150" s="40"/>
      <c r="P150" s="40"/>
      <c r="Q150" s="40"/>
      <c r="R150" s="39" t="s">
        <v>129</v>
      </c>
      <c r="S150" s="39" t="s">
        <v>1736</v>
      </c>
      <c r="T150" s="26" t="s">
        <v>189</v>
      </c>
    </row>
    <row r="151" customFormat="false" ht="15" hidden="false" customHeight="false" outlineLevel="0" collapsed="false">
      <c r="A151" s="38" t="n">
        <v>46225</v>
      </c>
      <c r="B151" s="39" t="s">
        <v>60</v>
      </c>
      <c r="C151" s="39" t="s">
        <v>1489</v>
      </c>
      <c r="D151" s="39" t="s">
        <v>1796</v>
      </c>
      <c r="E151" s="39" t="s">
        <v>116</v>
      </c>
      <c r="F151" s="39" t="s">
        <v>1797</v>
      </c>
      <c r="G151" s="39"/>
      <c r="H151" s="39" t="s">
        <v>1615</v>
      </c>
      <c r="I151" s="39" t="s">
        <v>107</v>
      </c>
      <c r="J151" s="39" t="s">
        <v>75</v>
      </c>
      <c r="K151" s="39" t="s">
        <v>95</v>
      </c>
      <c r="L151" s="39" t="s">
        <v>1398</v>
      </c>
      <c r="M151" s="39" t="s">
        <v>1358</v>
      </c>
      <c r="N151" s="39"/>
      <c r="O151" s="40"/>
      <c r="P151" s="40"/>
      <c r="Q151" s="40"/>
      <c r="R151" s="39" t="s">
        <v>126</v>
      </c>
      <c r="S151" s="39" t="s">
        <v>1798</v>
      </c>
      <c r="T151" s="26" t="s">
        <v>308</v>
      </c>
    </row>
    <row r="152" customFormat="false" ht="15" hidden="false" customHeight="false" outlineLevel="0" collapsed="false">
      <c r="A152" s="38" t="n">
        <v>46226</v>
      </c>
      <c r="B152" s="39" t="s">
        <v>61</v>
      </c>
      <c r="C152" s="39" t="s">
        <v>1375</v>
      </c>
      <c r="D152" s="39" t="s">
        <v>1799</v>
      </c>
      <c r="E152" s="39" t="s">
        <v>116</v>
      </c>
      <c r="F152" s="39" t="s">
        <v>1800</v>
      </c>
      <c r="G152" s="39"/>
      <c r="H152" s="39" t="s">
        <v>1638</v>
      </c>
      <c r="I152" s="39" t="s">
        <v>107</v>
      </c>
      <c r="J152" s="39" t="s">
        <v>73</v>
      </c>
      <c r="K152" s="39" t="s">
        <v>87</v>
      </c>
      <c r="L152" s="39" t="s">
        <v>1380</v>
      </c>
      <c r="M152" s="39" t="s">
        <v>1358</v>
      </c>
      <c r="N152" s="39"/>
      <c r="O152" s="40"/>
      <c r="P152" s="40"/>
      <c r="Q152" s="40"/>
      <c r="R152" s="39" t="s">
        <v>126</v>
      </c>
      <c r="S152" s="39" t="s">
        <v>1386</v>
      </c>
      <c r="T152" s="26" t="s">
        <v>308</v>
      </c>
    </row>
    <row r="153" customFormat="false" ht="15" hidden="false" customHeight="false" outlineLevel="0" collapsed="false">
      <c r="A153" s="38" t="n">
        <v>46227</v>
      </c>
      <c r="B153" s="39" t="s">
        <v>61</v>
      </c>
      <c r="C153" s="39" t="s">
        <v>1375</v>
      </c>
      <c r="D153" s="39" t="s">
        <v>1801</v>
      </c>
      <c r="E153" s="39" t="s">
        <v>119</v>
      </c>
      <c r="F153" s="39" t="s">
        <v>1802</v>
      </c>
      <c r="G153" s="39"/>
      <c r="H153" s="39" t="s">
        <v>1803</v>
      </c>
      <c r="I153" s="39" t="s">
        <v>107</v>
      </c>
      <c r="J153" s="39" t="s">
        <v>73</v>
      </c>
      <c r="K153" s="39" t="s">
        <v>87</v>
      </c>
      <c r="L153" s="39" t="s">
        <v>1380</v>
      </c>
      <c r="M153" s="39" t="s">
        <v>1358</v>
      </c>
      <c r="N153" s="39"/>
      <c r="O153" s="40"/>
      <c r="P153" s="40"/>
      <c r="Q153" s="40"/>
      <c r="R153" s="39" t="s">
        <v>126</v>
      </c>
      <c r="S153" s="39" t="s">
        <v>1789</v>
      </c>
      <c r="T153" s="26" t="s">
        <v>308</v>
      </c>
    </row>
    <row r="154" customFormat="false" ht="15" hidden="false" customHeight="false" outlineLevel="0" collapsed="false">
      <c r="A154" s="38" t="n">
        <v>46232</v>
      </c>
      <c r="B154" s="39" t="s">
        <v>61</v>
      </c>
      <c r="C154" s="39" t="s">
        <v>1375</v>
      </c>
      <c r="D154" s="39" t="s">
        <v>1804</v>
      </c>
      <c r="E154" s="39" t="s">
        <v>116</v>
      </c>
      <c r="F154" s="39" t="s">
        <v>1805</v>
      </c>
      <c r="G154" s="39"/>
      <c r="H154" s="39" t="s">
        <v>1626</v>
      </c>
      <c r="I154" s="39" t="s">
        <v>107</v>
      </c>
      <c r="J154" s="39" t="s">
        <v>74</v>
      </c>
      <c r="K154" s="39" t="s">
        <v>93</v>
      </c>
      <c r="L154" s="39" t="s">
        <v>1369</v>
      </c>
      <c r="M154" s="39" t="s">
        <v>1358</v>
      </c>
      <c r="N154" s="39"/>
      <c r="O154" s="40"/>
      <c r="P154" s="40"/>
      <c r="Q154" s="40"/>
      <c r="R154" s="39" t="s">
        <v>128</v>
      </c>
      <c r="S154" s="39" t="s">
        <v>1370</v>
      </c>
      <c r="T154" s="26" t="s">
        <v>308</v>
      </c>
    </row>
    <row r="155" customFormat="false" ht="15" hidden="false" customHeight="false" outlineLevel="0" collapsed="false">
      <c r="A155" s="38" t="n">
        <v>46234</v>
      </c>
      <c r="B155" s="39" t="s">
        <v>58</v>
      </c>
      <c r="C155" s="39" t="s">
        <v>1332</v>
      </c>
      <c r="D155" s="39" t="s">
        <v>1806</v>
      </c>
      <c r="E155" s="39" t="s">
        <v>116</v>
      </c>
      <c r="F155" s="39" t="s">
        <v>1807</v>
      </c>
      <c r="G155" s="39" t="s">
        <v>1808</v>
      </c>
      <c r="H155" s="39" t="s">
        <v>1626</v>
      </c>
      <c r="I155" s="39" t="s">
        <v>107</v>
      </c>
      <c r="J155" s="39" t="s">
        <v>75</v>
      </c>
      <c r="K155" s="39" t="s">
        <v>95</v>
      </c>
      <c r="L155" s="39" t="s">
        <v>1809</v>
      </c>
      <c r="M155" s="39" t="s">
        <v>1336</v>
      </c>
      <c r="N155" s="39"/>
      <c r="O155" s="40"/>
      <c r="P155" s="40"/>
      <c r="Q155" s="40" t="n">
        <v>8</v>
      </c>
      <c r="R155" s="39"/>
      <c r="S155" s="39" t="s">
        <v>1337</v>
      </c>
      <c r="T155" s="26" t="s">
        <v>308</v>
      </c>
    </row>
    <row r="156" customFormat="false" ht="15" hidden="false" customHeight="false" outlineLevel="0" collapsed="false">
      <c r="A156" s="38" t="n">
        <v>46238</v>
      </c>
      <c r="B156" s="39" t="s">
        <v>60</v>
      </c>
      <c r="C156" s="39" t="s">
        <v>1375</v>
      </c>
      <c r="D156" s="39" t="s">
        <v>1810</v>
      </c>
      <c r="E156" s="39" t="s">
        <v>116</v>
      </c>
      <c r="F156" s="39" t="s">
        <v>1811</v>
      </c>
      <c r="G156" s="39"/>
      <c r="H156" s="39" t="s">
        <v>1379</v>
      </c>
      <c r="I156" s="39" t="s">
        <v>107</v>
      </c>
      <c r="J156" s="39" t="s">
        <v>75</v>
      </c>
      <c r="K156" s="39" t="s">
        <v>95</v>
      </c>
      <c r="L156" s="39" t="s">
        <v>1349</v>
      </c>
      <c r="M156" s="39" t="s">
        <v>1358</v>
      </c>
      <c r="N156" s="39"/>
      <c r="O156" s="40"/>
      <c r="P156" s="40"/>
      <c r="Q156" s="40"/>
      <c r="R156" s="39" t="s">
        <v>126</v>
      </c>
      <c r="S156" s="39" t="s">
        <v>1465</v>
      </c>
      <c r="T156" s="26" t="s">
        <v>308</v>
      </c>
    </row>
    <row r="157" customFormat="false" ht="15" hidden="false" customHeight="false" outlineLevel="0" collapsed="false">
      <c r="A157" s="38" t="n">
        <v>46239</v>
      </c>
      <c r="B157" s="39" t="s">
        <v>61</v>
      </c>
      <c r="C157" s="39" t="s">
        <v>1683</v>
      </c>
      <c r="D157" s="39" t="s">
        <v>1812</v>
      </c>
      <c r="E157" s="39" t="s">
        <v>116</v>
      </c>
      <c r="F157" s="39" t="s">
        <v>1813</v>
      </c>
      <c r="G157" s="39"/>
      <c r="H157" s="39" t="s">
        <v>1814</v>
      </c>
      <c r="I157" s="39" t="s">
        <v>107</v>
      </c>
      <c r="J157" s="39" t="s">
        <v>75</v>
      </c>
      <c r="K157" s="39" t="s">
        <v>95</v>
      </c>
      <c r="L157" s="39" t="s">
        <v>1349</v>
      </c>
      <c r="M157" s="39" t="s">
        <v>1358</v>
      </c>
      <c r="N157" s="39"/>
      <c r="O157" s="40"/>
      <c r="P157" s="40"/>
      <c r="Q157" s="40"/>
      <c r="R157" s="39" t="s">
        <v>126</v>
      </c>
      <c r="S157" s="39" t="s">
        <v>1465</v>
      </c>
      <c r="T157" s="26" t="s">
        <v>264</v>
      </c>
    </row>
    <row r="158" customFormat="false" ht="15" hidden="false" customHeight="false" outlineLevel="0" collapsed="false">
      <c r="A158" s="38" t="n">
        <v>46240</v>
      </c>
      <c r="B158" s="39" t="s">
        <v>61</v>
      </c>
      <c r="C158" s="39" t="s">
        <v>1375</v>
      </c>
      <c r="D158" s="39" t="s">
        <v>1815</v>
      </c>
      <c r="E158" s="39" t="s">
        <v>116</v>
      </c>
      <c r="F158" s="39" t="s">
        <v>1816</v>
      </c>
      <c r="G158" s="39"/>
      <c r="H158" s="39" t="s">
        <v>1602</v>
      </c>
      <c r="I158" s="39" t="s">
        <v>107</v>
      </c>
      <c r="J158" s="39" t="s">
        <v>75</v>
      </c>
      <c r="K158" s="39" t="s">
        <v>95</v>
      </c>
      <c r="L158" s="39" t="s">
        <v>1349</v>
      </c>
      <c r="M158" s="39" t="s">
        <v>1358</v>
      </c>
      <c r="N158" s="39"/>
      <c r="O158" s="40"/>
      <c r="P158" s="40"/>
      <c r="Q158" s="40"/>
      <c r="R158" s="39" t="s">
        <v>126</v>
      </c>
      <c r="S158" s="39" t="s">
        <v>1465</v>
      </c>
      <c r="T158" s="26" t="s">
        <v>308</v>
      </c>
    </row>
    <row r="159" customFormat="false" ht="15" hidden="false" customHeight="false" outlineLevel="0" collapsed="false">
      <c r="A159" s="38" t="n">
        <v>46241</v>
      </c>
      <c r="B159" s="39" t="s">
        <v>58</v>
      </c>
      <c r="C159" s="39" t="s">
        <v>1332</v>
      </c>
      <c r="D159" s="39" t="s">
        <v>1817</v>
      </c>
      <c r="E159" s="39" t="s">
        <v>116</v>
      </c>
      <c r="F159" s="39" t="s">
        <v>1818</v>
      </c>
      <c r="G159" s="39" t="s">
        <v>1819</v>
      </c>
      <c r="H159" s="39" t="s">
        <v>1820</v>
      </c>
      <c r="I159" s="39" t="s">
        <v>107</v>
      </c>
      <c r="J159" s="39" t="s">
        <v>72</v>
      </c>
      <c r="K159" s="39" t="s">
        <v>82</v>
      </c>
      <c r="L159" s="39" t="s">
        <v>1599</v>
      </c>
      <c r="M159" s="39" t="s">
        <v>1336</v>
      </c>
      <c r="N159" s="39"/>
      <c r="O159" s="40"/>
      <c r="P159" s="40"/>
      <c r="Q159" s="40" t="n">
        <v>10</v>
      </c>
      <c r="R159" s="39"/>
      <c r="S159" s="39" t="s">
        <v>1337</v>
      </c>
      <c r="T159" s="26" t="s">
        <v>308</v>
      </c>
    </row>
    <row r="160" customFormat="false" ht="15" hidden="false" customHeight="false" outlineLevel="0" collapsed="false">
      <c r="A160" s="38" t="n">
        <v>46244</v>
      </c>
      <c r="B160" s="39" t="s">
        <v>61</v>
      </c>
      <c r="C160" s="39" t="s">
        <v>1375</v>
      </c>
      <c r="D160" s="39" t="s">
        <v>1821</v>
      </c>
      <c r="E160" s="39" t="s">
        <v>118</v>
      </c>
      <c r="F160" s="39" t="s">
        <v>1822</v>
      </c>
      <c r="G160" s="39"/>
      <c r="H160" s="39" t="s">
        <v>189</v>
      </c>
      <c r="I160" s="39" t="s">
        <v>109</v>
      </c>
      <c r="J160" s="39" t="s">
        <v>79</v>
      </c>
      <c r="K160" s="39"/>
      <c r="L160" s="39" t="s">
        <v>1403</v>
      </c>
      <c r="M160" s="39" t="s">
        <v>1358</v>
      </c>
      <c r="N160" s="39"/>
      <c r="O160" s="40"/>
      <c r="P160" s="40"/>
      <c r="Q160" s="40"/>
      <c r="R160" s="39" t="s">
        <v>126</v>
      </c>
      <c r="S160" s="39" t="s">
        <v>1736</v>
      </c>
      <c r="T160" s="26" t="s">
        <v>189</v>
      </c>
    </row>
    <row r="161" customFormat="false" ht="15" hidden="false" customHeight="false" outlineLevel="0" collapsed="false">
      <c r="A161" s="38" t="n">
        <v>46245</v>
      </c>
      <c r="B161" s="39" t="s">
        <v>61</v>
      </c>
      <c r="C161" s="39" t="s">
        <v>1517</v>
      </c>
      <c r="D161" s="39" t="s">
        <v>1823</v>
      </c>
      <c r="E161" s="39" t="s">
        <v>118</v>
      </c>
      <c r="F161" s="39" t="s">
        <v>1824</v>
      </c>
      <c r="G161" s="39"/>
      <c r="H161" s="39" t="s">
        <v>1582</v>
      </c>
      <c r="I161" s="39" t="s">
        <v>108</v>
      </c>
      <c r="J161" s="39" t="s">
        <v>73</v>
      </c>
      <c r="K161" s="39" t="s">
        <v>87</v>
      </c>
      <c r="L161" s="39" t="s">
        <v>1380</v>
      </c>
      <c r="M161" s="39" t="s">
        <v>1358</v>
      </c>
      <c r="N161" s="39"/>
      <c r="O161" s="40"/>
      <c r="P161" s="40"/>
      <c r="Q161" s="40"/>
      <c r="R161" s="39" t="s">
        <v>128</v>
      </c>
      <c r="S161" s="39" t="s">
        <v>1825</v>
      </c>
      <c r="T161" s="26" t="s">
        <v>236</v>
      </c>
    </row>
    <row r="162" customFormat="false" ht="15" hidden="false" customHeight="false" outlineLevel="0" collapsed="false">
      <c r="A162" s="38" t="n">
        <v>46245</v>
      </c>
      <c r="B162" s="39" t="s">
        <v>61</v>
      </c>
      <c r="C162" s="39" t="s">
        <v>1639</v>
      </c>
      <c r="D162" s="39" t="s">
        <v>1826</v>
      </c>
      <c r="E162" s="39" t="s">
        <v>116</v>
      </c>
      <c r="F162" s="39" t="s">
        <v>1827</v>
      </c>
      <c r="G162" s="39"/>
      <c r="H162" s="39" t="s">
        <v>1707</v>
      </c>
      <c r="I162" s="39" t="s">
        <v>107</v>
      </c>
      <c r="J162" s="39" t="s">
        <v>74</v>
      </c>
      <c r="K162" s="39" t="s">
        <v>93</v>
      </c>
      <c r="L162" s="39" t="s">
        <v>1369</v>
      </c>
      <c r="M162" s="39" t="s">
        <v>1358</v>
      </c>
      <c r="N162" s="39"/>
      <c r="O162" s="40"/>
      <c r="P162" s="40"/>
      <c r="Q162" s="40"/>
      <c r="R162" s="39" t="s">
        <v>129</v>
      </c>
      <c r="S162" s="39" t="s">
        <v>1370</v>
      </c>
      <c r="T162" s="26" t="s">
        <v>308</v>
      </c>
    </row>
    <row r="163" customFormat="false" ht="15" hidden="false" customHeight="false" outlineLevel="0" collapsed="false">
      <c r="A163" s="38" t="n">
        <v>46248</v>
      </c>
      <c r="B163" s="39" t="s">
        <v>61</v>
      </c>
      <c r="C163" s="39" t="s">
        <v>1375</v>
      </c>
      <c r="D163" s="39" t="s">
        <v>1828</v>
      </c>
      <c r="E163" s="39" t="s">
        <v>116</v>
      </c>
      <c r="F163" s="39" t="s">
        <v>1829</v>
      </c>
      <c r="G163" s="39"/>
      <c r="H163" s="39" t="s">
        <v>1707</v>
      </c>
      <c r="I163" s="39" t="s">
        <v>107</v>
      </c>
      <c r="J163" s="39" t="s">
        <v>75</v>
      </c>
      <c r="K163" s="39" t="s">
        <v>95</v>
      </c>
      <c r="L163" s="39" t="s">
        <v>1349</v>
      </c>
      <c r="M163" s="39" t="s">
        <v>1358</v>
      </c>
      <c r="N163" s="39"/>
      <c r="O163" s="40"/>
      <c r="P163" s="40"/>
      <c r="Q163" s="40"/>
      <c r="R163" s="39" t="s">
        <v>129</v>
      </c>
      <c r="S163" s="39" t="s">
        <v>1465</v>
      </c>
      <c r="T163" s="26" t="s">
        <v>308</v>
      </c>
    </row>
    <row r="164" customFormat="false" ht="15" hidden="false" customHeight="false" outlineLevel="0" collapsed="false">
      <c r="A164" s="38" t="n">
        <v>46254</v>
      </c>
      <c r="B164" s="39" t="s">
        <v>61</v>
      </c>
      <c r="C164" s="39" t="s">
        <v>1375</v>
      </c>
      <c r="D164" s="39" t="s">
        <v>1830</v>
      </c>
      <c r="E164" s="39" t="s">
        <v>116</v>
      </c>
      <c r="F164" s="39" t="s">
        <v>1831</v>
      </c>
      <c r="G164" s="39"/>
      <c r="H164" s="39" t="s">
        <v>1626</v>
      </c>
      <c r="I164" s="39" t="s">
        <v>107</v>
      </c>
      <c r="J164" s="39" t="s">
        <v>79</v>
      </c>
      <c r="K164" s="39"/>
      <c r="L164" s="39" t="s">
        <v>1403</v>
      </c>
      <c r="M164" s="39" t="s">
        <v>1358</v>
      </c>
      <c r="N164" s="39"/>
      <c r="O164" s="40"/>
      <c r="P164" s="40"/>
      <c r="Q164" s="40"/>
      <c r="R164" s="39" t="s">
        <v>126</v>
      </c>
      <c r="S164" s="39" t="s">
        <v>1603</v>
      </c>
      <c r="T164" s="26" t="s">
        <v>308</v>
      </c>
    </row>
    <row r="165" customFormat="false" ht="15" hidden="false" customHeight="false" outlineLevel="0" collapsed="false">
      <c r="A165" s="38" t="n">
        <v>46259</v>
      </c>
      <c r="B165" s="39" t="s">
        <v>61</v>
      </c>
      <c r="C165" s="39" t="s">
        <v>1683</v>
      </c>
      <c r="D165" s="39" t="s">
        <v>1832</v>
      </c>
      <c r="E165" s="39" t="s">
        <v>117</v>
      </c>
      <c r="F165" s="39" t="s">
        <v>1833</v>
      </c>
      <c r="G165" s="39"/>
      <c r="H165" s="39" t="s">
        <v>1390</v>
      </c>
      <c r="I165" s="39" t="s">
        <v>107</v>
      </c>
      <c r="J165" s="39" t="s">
        <v>79</v>
      </c>
      <c r="K165" s="39"/>
      <c r="L165" s="39" t="s">
        <v>1403</v>
      </c>
      <c r="M165" s="39" t="s">
        <v>1358</v>
      </c>
      <c r="N165" s="39"/>
      <c r="O165" s="40"/>
      <c r="P165" s="40"/>
      <c r="Q165" s="40"/>
      <c r="R165" s="39" t="s">
        <v>126</v>
      </c>
      <c r="S165" s="39" t="s">
        <v>1749</v>
      </c>
      <c r="T165" s="26" t="s">
        <v>308</v>
      </c>
    </row>
    <row r="166" customFormat="false" ht="15" hidden="false" customHeight="false" outlineLevel="0" collapsed="false">
      <c r="A166" s="38" t="n">
        <v>46259</v>
      </c>
      <c r="B166" s="39" t="s">
        <v>61</v>
      </c>
      <c r="C166" s="39" t="s">
        <v>1375</v>
      </c>
      <c r="D166" s="39" t="s">
        <v>1834</v>
      </c>
      <c r="E166" s="39" t="s">
        <v>116</v>
      </c>
      <c r="F166" s="39" t="s">
        <v>1835</v>
      </c>
      <c r="G166" s="39"/>
      <c r="H166" s="39" t="s">
        <v>1836</v>
      </c>
      <c r="I166" s="39" t="s">
        <v>107</v>
      </c>
      <c r="J166" s="39" t="s">
        <v>75</v>
      </c>
      <c r="K166" s="39" t="s">
        <v>95</v>
      </c>
      <c r="L166" s="39" t="s">
        <v>1349</v>
      </c>
      <c r="M166" s="39" t="s">
        <v>1358</v>
      </c>
      <c r="N166" s="39"/>
      <c r="O166" s="40"/>
      <c r="P166" s="40"/>
      <c r="Q166" s="40"/>
      <c r="R166" s="39" t="s">
        <v>126</v>
      </c>
      <c r="S166" s="39" t="s">
        <v>1465</v>
      </c>
      <c r="T166" s="26" t="s">
        <v>308</v>
      </c>
    </row>
    <row r="167" customFormat="false" ht="15" hidden="false" customHeight="false" outlineLevel="0" collapsed="false">
      <c r="A167" s="38" t="n">
        <v>46259</v>
      </c>
      <c r="B167" s="39" t="s">
        <v>61</v>
      </c>
      <c r="C167" s="39" t="s">
        <v>1375</v>
      </c>
      <c r="D167" s="39" t="s">
        <v>1837</v>
      </c>
      <c r="E167" s="39" t="s">
        <v>116</v>
      </c>
      <c r="F167" s="39" t="s">
        <v>1838</v>
      </c>
      <c r="G167" s="39"/>
      <c r="H167" s="39" t="s">
        <v>1839</v>
      </c>
      <c r="I167" s="39" t="s">
        <v>107</v>
      </c>
      <c r="J167" s="39" t="s">
        <v>75</v>
      </c>
      <c r="K167" s="39" t="s">
        <v>95</v>
      </c>
      <c r="L167" s="39" t="s">
        <v>1349</v>
      </c>
      <c r="M167" s="39" t="s">
        <v>1358</v>
      </c>
      <c r="N167" s="39"/>
      <c r="O167" s="40"/>
      <c r="P167" s="40"/>
      <c r="Q167" s="40"/>
      <c r="R167" s="39" t="s">
        <v>130</v>
      </c>
      <c r="S167" s="39" t="s">
        <v>1465</v>
      </c>
      <c r="T167" s="26" t="s">
        <v>308</v>
      </c>
    </row>
    <row r="168" customFormat="false" ht="15" hidden="false" customHeight="false" outlineLevel="0" collapsed="false">
      <c r="A168" s="38" t="n">
        <v>46259</v>
      </c>
      <c r="B168" s="39" t="s">
        <v>61</v>
      </c>
      <c r="C168" s="39" t="s">
        <v>1626</v>
      </c>
      <c r="D168" s="39" t="s">
        <v>1840</v>
      </c>
      <c r="E168" s="39" t="s">
        <v>116</v>
      </c>
      <c r="F168" s="39" t="s">
        <v>1841</v>
      </c>
      <c r="G168" s="39"/>
      <c r="H168" s="39" t="s">
        <v>1626</v>
      </c>
      <c r="I168" s="39" t="s">
        <v>107</v>
      </c>
      <c r="J168" s="39" t="s">
        <v>72</v>
      </c>
      <c r="K168" s="39" t="s">
        <v>83</v>
      </c>
      <c r="L168" s="39" t="s">
        <v>1712</v>
      </c>
      <c r="M168" s="39" t="s">
        <v>1358</v>
      </c>
      <c r="N168" s="39"/>
      <c r="O168" s="40"/>
      <c r="P168" s="40"/>
      <c r="Q168" s="40"/>
      <c r="R168" s="39" t="s">
        <v>127</v>
      </c>
      <c r="S168" s="39" t="s">
        <v>1713</v>
      </c>
      <c r="T168" s="26" t="s">
        <v>308</v>
      </c>
    </row>
    <row r="169" customFormat="false" ht="15" hidden="false" customHeight="false" outlineLevel="0" collapsed="false">
      <c r="A169" s="38" t="n">
        <v>46260</v>
      </c>
      <c r="B169" s="39" t="s">
        <v>61</v>
      </c>
      <c r="C169" s="39" t="s">
        <v>1375</v>
      </c>
      <c r="D169" s="39" t="s">
        <v>1842</v>
      </c>
      <c r="E169" s="39" t="s">
        <v>118</v>
      </c>
      <c r="F169" s="39" t="s">
        <v>1843</v>
      </c>
      <c r="G169" s="39"/>
      <c r="H169" s="39" t="s">
        <v>1517</v>
      </c>
      <c r="I169" s="39" t="s">
        <v>108</v>
      </c>
      <c r="J169" s="39" t="s">
        <v>74</v>
      </c>
      <c r="K169" s="39" t="s">
        <v>93</v>
      </c>
      <c r="L169" s="39" t="s">
        <v>1369</v>
      </c>
      <c r="M169" s="39" t="s">
        <v>1358</v>
      </c>
      <c r="N169" s="39"/>
      <c r="O169" s="40"/>
      <c r="P169" s="40"/>
      <c r="Q169" s="40"/>
      <c r="R169" s="39" t="s">
        <v>127</v>
      </c>
      <c r="S169" s="39" t="s">
        <v>1419</v>
      </c>
      <c r="T169" s="26" t="s">
        <v>236</v>
      </c>
    </row>
    <row r="170" customFormat="false" ht="15" hidden="false" customHeight="false" outlineLevel="0" collapsed="false">
      <c r="A170" s="38" t="n">
        <v>46260</v>
      </c>
      <c r="B170" s="39" t="s">
        <v>61</v>
      </c>
      <c r="C170" s="39" t="s">
        <v>1375</v>
      </c>
      <c r="D170" s="39" t="s">
        <v>1844</v>
      </c>
      <c r="E170" s="39" t="s">
        <v>116</v>
      </c>
      <c r="F170" s="39" t="s">
        <v>1845</v>
      </c>
      <c r="G170" s="39"/>
      <c r="H170" s="39" t="s">
        <v>260</v>
      </c>
      <c r="I170" s="39" t="s">
        <v>107</v>
      </c>
      <c r="J170" s="39" t="s">
        <v>79</v>
      </c>
      <c r="K170" s="39"/>
      <c r="L170" s="39" t="s">
        <v>1403</v>
      </c>
      <c r="M170" s="39" t="s">
        <v>1358</v>
      </c>
      <c r="N170" s="39"/>
      <c r="O170" s="40"/>
      <c r="P170" s="40"/>
      <c r="Q170" s="40"/>
      <c r="R170" s="39" t="s">
        <v>126</v>
      </c>
      <c r="S170" s="39" t="s">
        <v>1603</v>
      </c>
      <c r="T170" s="26" t="s">
        <v>264</v>
      </c>
    </row>
    <row r="171" customFormat="false" ht="15" hidden="false" customHeight="false" outlineLevel="0" collapsed="false">
      <c r="A171" s="38" t="n">
        <v>46261</v>
      </c>
      <c r="B171" s="39" t="s">
        <v>61</v>
      </c>
      <c r="C171" s="39" t="s">
        <v>1375</v>
      </c>
      <c r="D171" s="39" t="s">
        <v>1846</v>
      </c>
      <c r="E171" s="39" t="s">
        <v>116</v>
      </c>
      <c r="F171" s="39" t="s">
        <v>1847</v>
      </c>
      <c r="G171" s="39"/>
      <c r="H171" s="39" t="s">
        <v>1848</v>
      </c>
      <c r="I171" s="39" t="s">
        <v>109</v>
      </c>
      <c r="J171" s="39" t="s">
        <v>79</v>
      </c>
      <c r="K171" s="39"/>
      <c r="L171" s="39" t="s">
        <v>1403</v>
      </c>
      <c r="M171" s="39" t="s">
        <v>1358</v>
      </c>
      <c r="N171" s="39"/>
      <c r="O171" s="40"/>
      <c r="P171" s="40"/>
      <c r="Q171" s="40"/>
      <c r="R171" s="39" t="s">
        <v>126</v>
      </c>
      <c r="S171" s="39" t="s">
        <v>1603</v>
      </c>
      <c r="T171" s="26" t="s">
        <v>189</v>
      </c>
    </row>
    <row r="172" customFormat="false" ht="15" hidden="false" customHeight="false" outlineLevel="0" collapsed="false">
      <c r="A172" s="38" t="n">
        <v>46261</v>
      </c>
      <c r="B172" s="39" t="s">
        <v>61</v>
      </c>
      <c r="C172" s="39" t="s">
        <v>1849</v>
      </c>
      <c r="D172" s="39" t="s">
        <v>1850</v>
      </c>
      <c r="E172" s="39" t="s">
        <v>118</v>
      </c>
      <c r="F172" s="39" t="s">
        <v>1851</v>
      </c>
      <c r="G172" s="39"/>
      <c r="H172" s="39" t="s">
        <v>1852</v>
      </c>
      <c r="I172" s="39" t="s">
        <v>107</v>
      </c>
      <c r="J172" s="39" t="s">
        <v>73</v>
      </c>
      <c r="K172" s="39" t="s">
        <v>87</v>
      </c>
      <c r="L172" s="39" t="s">
        <v>1380</v>
      </c>
      <c r="M172" s="39" t="s">
        <v>1358</v>
      </c>
      <c r="N172" s="39"/>
      <c r="O172" s="40"/>
      <c r="P172" s="40"/>
      <c r="Q172" s="40"/>
      <c r="R172" s="39" t="s">
        <v>126</v>
      </c>
      <c r="S172" s="39" t="s">
        <v>1381</v>
      </c>
      <c r="T172" s="26" t="s">
        <v>308</v>
      </c>
    </row>
    <row r="173" customFormat="false" ht="15" hidden="false" customHeight="false" outlineLevel="0" collapsed="false">
      <c r="A173" s="38" t="n">
        <v>46265</v>
      </c>
      <c r="B173" s="39" t="s">
        <v>61</v>
      </c>
      <c r="C173" s="39" t="s">
        <v>1375</v>
      </c>
      <c r="D173" s="39" t="s">
        <v>1853</v>
      </c>
      <c r="E173" s="39" t="s">
        <v>116</v>
      </c>
      <c r="F173" s="39" t="s">
        <v>1854</v>
      </c>
      <c r="G173" s="39"/>
      <c r="H173" s="39" t="s">
        <v>1814</v>
      </c>
      <c r="I173" s="39" t="s">
        <v>107</v>
      </c>
      <c r="J173" s="39" t="s">
        <v>75</v>
      </c>
      <c r="K173" s="39" t="s">
        <v>95</v>
      </c>
      <c r="L173" s="39" t="s">
        <v>1349</v>
      </c>
      <c r="M173" s="39" t="s">
        <v>1358</v>
      </c>
      <c r="N173" s="39"/>
      <c r="O173" s="40"/>
      <c r="P173" s="40"/>
      <c r="Q173" s="40"/>
      <c r="R173" s="39" t="s">
        <v>125</v>
      </c>
      <c r="S173" s="39" t="s">
        <v>1465</v>
      </c>
      <c r="T173" s="26" t="s">
        <v>264</v>
      </c>
    </row>
    <row r="174" customFormat="false" ht="15" hidden="false" customHeight="false" outlineLevel="0" collapsed="false">
      <c r="A174" s="38" t="n">
        <v>46265</v>
      </c>
      <c r="B174" s="39" t="s">
        <v>61</v>
      </c>
      <c r="C174" s="39" t="s">
        <v>1375</v>
      </c>
      <c r="D174" s="39" t="s">
        <v>1855</v>
      </c>
      <c r="E174" s="39" t="s">
        <v>117</v>
      </c>
      <c r="F174" s="39" t="s">
        <v>1856</v>
      </c>
      <c r="G174" s="39"/>
      <c r="H174" s="39" t="s">
        <v>1707</v>
      </c>
      <c r="I174" s="39" t="s">
        <v>107</v>
      </c>
      <c r="J174" s="39" t="s">
        <v>72</v>
      </c>
      <c r="K174" s="39" t="s">
        <v>83</v>
      </c>
      <c r="L174" s="39" t="s">
        <v>1712</v>
      </c>
      <c r="M174" s="39" t="s">
        <v>1358</v>
      </c>
      <c r="N174" s="39"/>
      <c r="O174" s="40"/>
      <c r="P174" s="40"/>
      <c r="Q174" s="40"/>
      <c r="R174" s="39" t="s">
        <v>129</v>
      </c>
      <c r="S174" s="39" t="s">
        <v>1857</v>
      </c>
      <c r="T174" s="26" t="s">
        <v>308</v>
      </c>
    </row>
    <row r="175" customFormat="false" ht="15" hidden="false" customHeight="false" outlineLevel="0" collapsed="false">
      <c r="A175" s="38" t="n">
        <v>46265</v>
      </c>
      <c r="B175" s="39" t="s">
        <v>61</v>
      </c>
      <c r="C175" s="39" t="s">
        <v>1375</v>
      </c>
      <c r="D175" s="39" t="s">
        <v>1858</v>
      </c>
      <c r="E175" s="39" t="s">
        <v>116</v>
      </c>
      <c r="F175" s="39" t="s">
        <v>1859</v>
      </c>
      <c r="G175" s="39"/>
      <c r="H175" s="39" t="s">
        <v>1698</v>
      </c>
      <c r="I175" s="39" t="s">
        <v>107</v>
      </c>
      <c r="J175" s="39" t="s">
        <v>75</v>
      </c>
      <c r="K175" s="39" t="s">
        <v>95</v>
      </c>
      <c r="L175" s="39" t="s">
        <v>1349</v>
      </c>
      <c r="M175" s="39" t="s">
        <v>1358</v>
      </c>
      <c r="N175" s="39"/>
      <c r="O175" s="40"/>
      <c r="P175" s="40"/>
      <c r="Q175" s="40"/>
      <c r="R175" s="39" t="s">
        <v>129</v>
      </c>
      <c r="S175" s="39" t="s">
        <v>1465</v>
      </c>
      <c r="T175" s="26" t="s">
        <v>264</v>
      </c>
    </row>
    <row r="176" customFormat="false" ht="15" hidden="false" customHeight="false" outlineLevel="0" collapsed="false">
      <c r="A176" s="38" t="n">
        <v>46265</v>
      </c>
      <c r="B176" s="39" t="s">
        <v>61</v>
      </c>
      <c r="C176" s="39" t="s">
        <v>1860</v>
      </c>
      <c r="D176" s="39" t="s">
        <v>1861</v>
      </c>
      <c r="E176" s="39" t="s">
        <v>116</v>
      </c>
      <c r="F176" s="39" t="s">
        <v>1862</v>
      </c>
      <c r="G176" s="39"/>
      <c r="H176" s="39" t="s">
        <v>1852</v>
      </c>
      <c r="I176" s="39" t="s">
        <v>107</v>
      </c>
      <c r="J176" s="39" t="s">
        <v>79</v>
      </c>
      <c r="K176" s="39"/>
      <c r="L176" s="39" t="s">
        <v>1403</v>
      </c>
      <c r="M176" s="39" t="s">
        <v>1358</v>
      </c>
      <c r="N176" s="39"/>
      <c r="O176" s="40"/>
      <c r="P176" s="40"/>
      <c r="Q176" s="40"/>
      <c r="R176" s="39" t="s">
        <v>126</v>
      </c>
      <c r="S176" s="39" t="s">
        <v>1603</v>
      </c>
      <c r="T176" s="26" t="s">
        <v>308</v>
      </c>
    </row>
    <row r="177" customFormat="false" ht="15" hidden="false" customHeight="false" outlineLevel="0" collapsed="false">
      <c r="A177" s="38" t="n">
        <v>46266</v>
      </c>
      <c r="B177" s="39" t="s">
        <v>58</v>
      </c>
      <c r="C177" s="39" t="s">
        <v>1332</v>
      </c>
      <c r="D177" s="39" t="s">
        <v>1863</v>
      </c>
      <c r="E177" s="39" t="s">
        <v>116</v>
      </c>
      <c r="F177" s="39" t="s">
        <v>1864</v>
      </c>
      <c r="G177" s="39" t="s">
        <v>1865</v>
      </c>
      <c r="H177" s="39" t="s">
        <v>1820</v>
      </c>
      <c r="I177" s="39" t="s">
        <v>107</v>
      </c>
      <c r="J177" s="39" t="s">
        <v>72</v>
      </c>
      <c r="K177" s="39" t="s">
        <v>82</v>
      </c>
      <c r="L177" s="39" t="s">
        <v>1599</v>
      </c>
      <c r="M177" s="39" t="s">
        <v>1336</v>
      </c>
      <c r="N177" s="39"/>
      <c r="O177" s="40"/>
      <c r="P177" s="40"/>
      <c r="Q177" s="40" t="n">
        <v>10</v>
      </c>
      <c r="R177" s="39"/>
      <c r="S177" s="39" t="s">
        <v>1337</v>
      </c>
      <c r="T177" s="26" t="s">
        <v>308</v>
      </c>
    </row>
    <row r="178" customFormat="false" ht="15" hidden="false" customHeight="false" outlineLevel="0" collapsed="false">
      <c r="A178" s="38" t="n">
        <v>46280</v>
      </c>
      <c r="B178" s="39" t="s">
        <v>58</v>
      </c>
      <c r="C178" s="39" t="s">
        <v>1332</v>
      </c>
      <c r="D178" s="39" t="s">
        <v>1866</v>
      </c>
      <c r="E178" s="39" t="s">
        <v>116</v>
      </c>
      <c r="F178" s="39" t="s">
        <v>1867</v>
      </c>
      <c r="G178" s="39" t="s">
        <v>1868</v>
      </c>
      <c r="H178" s="39" t="s">
        <v>193</v>
      </c>
      <c r="I178" s="39" t="s">
        <v>108</v>
      </c>
      <c r="J178" s="39" t="s">
        <v>75</v>
      </c>
      <c r="K178" s="39" t="s">
        <v>95</v>
      </c>
      <c r="L178" s="39" t="s">
        <v>1869</v>
      </c>
      <c r="M178" s="39" t="s">
        <v>1870</v>
      </c>
      <c r="N178" s="39"/>
      <c r="O178" s="40"/>
      <c r="P178" s="40"/>
      <c r="Q178" s="40" t="n">
        <v>8</v>
      </c>
      <c r="R178" s="39"/>
      <c r="S178" s="39" t="s">
        <v>1871</v>
      </c>
      <c r="T178" s="26" t="s">
        <v>193</v>
      </c>
    </row>
    <row r="179" customFormat="false" ht="15" hidden="false" customHeight="false" outlineLevel="0" collapsed="false">
      <c r="A179" s="38" t="n">
        <v>46282</v>
      </c>
      <c r="B179" s="39" t="s">
        <v>61</v>
      </c>
      <c r="C179" s="39" t="s">
        <v>1375</v>
      </c>
      <c r="D179" s="39" t="s">
        <v>1872</v>
      </c>
      <c r="E179" s="39" t="s">
        <v>120</v>
      </c>
      <c r="F179" s="39" t="s">
        <v>1873</v>
      </c>
      <c r="G179" s="39"/>
      <c r="H179" s="39" t="s">
        <v>1379</v>
      </c>
      <c r="I179" s="39" t="s">
        <v>107</v>
      </c>
      <c r="J179" s="39" t="s">
        <v>72</v>
      </c>
      <c r="K179" s="39" t="s">
        <v>82</v>
      </c>
      <c r="L179" s="39" t="s">
        <v>1487</v>
      </c>
      <c r="M179" s="39" t="s">
        <v>1358</v>
      </c>
      <c r="N179" s="39"/>
      <c r="O179" s="40"/>
      <c r="P179" s="40"/>
      <c r="Q179" s="40"/>
      <c r="R179" s="39" t="s">
        <v>125</v>
      </c>
      <c r="S179" s="39" t="s">
        <v>1874</v>
      </c>
      <c r="T179" s="26" t="s">
        <v>308</v>
      </c>
    </row>
    <row r="180" customFormat="false" ht="15" hidden="false" customHeight="false" outlineLevel="0" collapsed="false">
      <c r="A180" s="38" t="n">
        <v>46282</v>
      </c>
      <c r="B180" s="39" t="s">
        <v>61</v>
      </c>
      <c r="C180" s="39" t="s">
        <v>1375</v>
      </c>
      <c r="D180" s="39" t="s">
        <v>1875</v>
      </c>
      <c r="E180" s="39" t="s">
        <v>116</v>
      </c>
      <c r="F180" s="39" t="s">
        <v>1876</v>
      </c>
      <c r="G180" s="39"/>
      <c r="H180" s="39" t="s">
        <v>1707</v>
      </c>
      <c r="I180" s="39" t="s">
        <v>107</v>
      </c>
      <c r="J180" s="39" t="s">
        <v>79</v>
      </c>
      <c r="K180" s="39"/>
      <c r="L180" s="39" t="s">
        <v>1414</v>
      </c>
      <c r="M180" s="39" t="s">
        <v>1358</v>
      </c>
      <c r="N180" s="39"/>
      <c r="O180" s="40"/>
      <c r="P180" s="40"/>
      <c r="Q180" s="40"/>
      <c r="R180" s="39" t="s">
        <v>126</v>
      </c>
      <c r="S180" s="39" t="s">
        <v>1415</v>
      </c>
      <c r="T180" s="26" t="s">
        <v>308</v>
      </c>
    </row>
    <row r="181" customFormat="false" ht="15" hidden="false" customHeight="false" outlineLevel="0" collapsed="false">
      <c r="A181" s="38" t="n">
        <v>46282</v>
      </c>
      <c r="B181" s="39" t="s">
        <v>61</v>
      </c>
      <c r="C181" s="39" t="s">
        <v>1375</v>
      </c>
      <c r="D181" s="39" t="s">
        <v>653</v>
      </c>
      <c r="E181" s="39" t="s">
        <v>116</v>
      </c>
      <c r="F181" s="39" t="s">
        <v>1877</v>
      </c>
      <c r="G181" s="39"/>
      <c r="H181" s="39" t="s">
        <v>1551</v>
      </c>
      <c r="I181" s="39" t="s">
        <v>107</v>
      </c>
      <c r="J181" s="39" t="s">
        <v>79</v>
      </c>
      <c r="K181" s="39"/>
      <c r="L181" s="39" t="s">
        <v>1878</v>
      </c>
      <c r="M181" s="39" t="s">
        <v>1358</v>
      </c>
      <c r="N181" s="39"/>
      <c r="O181" s="40"/>
      <c r="P181" s="40"/>
      <c r="Q181" s="40"/>
      <c r="R181" s="39" t="s">
        <v>126</v>
      </c>
      <c r="S181" s="39" t="s">
        <v>1879</v>
      </c>
      <c r="T181" s="26" t="s">
        <v>308</v>
      </c>
    </row>
    <row r="182" customFormat="false" ht="15" hidden="false" customHeight="false" outlineLevel="0" collapsed="false">
      <c r="A182" s="38" t="n">
        <v>46283</v>
      </c>
      <c r="B182" s="39" t="s">
        <v>61</v>
      </c>
      <c r="C182" s="39" t="s">
        <v>1375</v>
      </c>
      <c r="D182" s="39" t="s">
        <v>1880</v>
      </c>
      <c r="E182" s="39" t="s">
        <v>116</v>
      </c>
      <c r="F182" s="39" t="s">
        <v>1881</v>
      </c>
      <c r="G182" s="39"/>
      <c r="H182" s="39" t="s">
        <v>1469</v>
      </c>
      <c r="I182" s="39" t="s">
        <v>107</v>
      </c>
      <c r="J182" s="39" t="s">
        <v>74</v>
      </c>
      <c r="K182" s="39" t="s">
        <v>93</v>
      </c>
      <c r="L182" s="39" t="s">
        <v>1369</v>
      </c>
      <c r="M182" s="39" t="s">
        <v>1358</v>
      </c>
      <c r="N182" s="39"/>
      <c r="O182" s="40"/>
      <c r="P182" s="40"/>
      <c r="Q182" s="40"/>
      <c r="R182" s="39" t="s">
        <v>126</v>
      </c>
      <c r="S182" s="39" t="s">
        <v>1370</v>
      </c>
      <c r="T182" s="26" t="s">
        <v>308</v>
      </c>
    </row>
    <row r="183" customFormat="false" ht="15" hidden="false" customHeight="false" outlineLevel="0" collapsed="false">
      <c r="A183" s="38" t="n">
        <v>46286</v>
      </c>
      <c r="B183" s="39" t="s">
        <v>60</v>
      </c>
      <c r="C183" s="39" t="s">
        <v>1375</v>
      </c>
      <c r="D183" s="39" t="s">
        <v>1882</v>
      </c>
      <c r="E183" s="39" t="s">
        <v>118</v>
      </c>
      <c r="F183" s="39" t="s">
        <v>1883</v>
      </c>
      <c r="G183" s="39"/>
      <c r="H183" s="39" t="s">
        <v>1884</v>
      </c>
      <c r="I183" s="39" t="s">
        <v>112</v>
      </c>
      <c r="J183" s="39" t="s">
        <v>73</v>
      </c>
      <c r="K183" s="39" t="s">
        <v>87</v>
      </c>
      <c r="L183" s="39" t="s">
        <v>1380</v>
      </c>
      <c r="M183" s="39" t="s">
        <v>1358</v>
      </c>
      <c r="N183" s="39"/>
      <c r="O183" s="40"/>
      <c r="P183" s="40"/>
      <c r="Q183" s="40"/>
      <c r="R183" s="39" t="s">
        <v>126</v>
      </c>
      <c r="S183" s="39" t="s">
        <v>1381</v>
      </c>
      <c r="T183" s="26" t="s">
        <v>308</v>
      </c>
    </row>
    <row r="184" customFormat="false" ht="15" hidden="false" customHeight="false" outlineLevel="0" collapsed="false">
      <c r="A184" s="38" t="n">
        <v>46286</v>
      </c>
      <c r="B184" s="39" t="s">
        <v>61</v>
      </c>
      <c r="C184" s="39" t="s">
        <v>1683</v>
      </c>
      <c r="D184" s="39" t="s">
        <v>1885</v>
      </c>
      <c r="E184" s="39" t="s">
        <v>116</v>
      </c>
      <c r="F184" s="39" t="s">
        <v>1886</v>
      </c>
      <c r="G184" s="39"/>
      <c r="H184" s="39" t="s">
        <v>279</v>
      </c>
      <c r="I184" s="39" t="s">
        <v>107</v>
      </c>
      <c r="J184" s="39" t="s">
        <v>75</v>
      </c>
      <c r="K184" s="39" t="s">
        <v>95</v>
      </c>
      <c r="L184" s="39" t="s">
        <v>1349</v>
      </c>
      <c r="M184" s="39" t="s">
        <v>1358</v>
      </c>
      <c r="N184" s="39"/>
      <c r="O184" s="40"/>
      <c r="P184" s="40"/>
      <c r="Q184" s="40"/>
      <c r="R184" s="39" t="s">
        <v>128</v>
      </c>
      <c r="S184" s="39" t="s">
        <v>1465</v>
      </c>
      <c r="T184" s="26" t="s">
        <v>279</v>
      </c>
    </row>
    <row r="185" customFormat="false" ht="15" hidden="false" customHeight="false" outlineLevel="0" collapsed="false">
      <c r="A185" s="38" t="n">
        <v>46286</v>
      </c>
      <c r="B185" s="39" t="s">
        <v>61</v>
      </c>
      <c r="C185" s="39" t="s">
        <v>1375</v>
      </c>
      <c r="D185" s="39" t="s">
        <v>562</v>
      </c>
      <c r="E185" s="39" t="s">
        <v>116</v>
      </c>
      <c r="F185" s="39" t="s">
        <v>1887</v>
      </c>
      <c r="G185" s="39"/>
      <c r="H185" s="39" t="s">
        <v>1888</v>
      </c>
      <c r="I185" s="39" t="s">
        <v>107</v>
      </c>
      <c r="J185" s="39" t="s">
        <v>72</v>
      </c>
      <c r="K185" s="39" t="s">
        <v>82</v>
      </c>
      <c r="L185" s="39" t="s">
        <v>1487</v>
      </c>
      <c r="M185" s="39" t="s">
        <v>1358</v>
      </c>
      <c r="N185" s="39"/>
      <c r="O185" s="40"/>
      <c r="P185" s="40"/>
      <c r="Q185" s="40"/>
      <c r="R185" s="39" t="s">
        <v>126</v>
      </c>
      <c r="S185" s="39" t="s">
        <v>1488</v>
      </c>
      <c r="T185" s="26" t="s">
        <v>308</v>
      </c>
    </row>
    <row r="186" customFormat="false" ht="15" hidden="false" customHeight="false" outlineLevel="0" collapsed="false">
      <c r="A186" s="38" t="n">
        <v>46287</v>
      </c>
      <c r="B186" s="39" t="s">
        <v>61</v>
      </c>
      <c r="C186" s="39" t="s">
        <v>1683</v>
      </c>
      <c r="D186" s="39" t="s">
        <v>678</v>
      </c>
      <c r="E186" s="39" t="s">
        <v>116</v>
      </c>
      <c r="F186" s="39" t="s">
        <v>1889</v>
      </c>
      <c r="G186" s="39"/>
      <c r="H186" s="39" t="s">
        <v>1888</v>
      </c>
      <c r="I186" s="39" t="s">
        <v>107</v>
      </c>
      <c r="J186" s="39" t="s">
        <v>75</v>
      </c>
      <c r="K186" s="39" t="s">
        <v>95</v>
      </c>
      <c r="L186" s="39" t="s">
        <v>1349</v>
      </c>
      <c r="M186" s="39" t="s">
        <v>1358</v>
      </c>
      <c r="N186" s="39"/>
      <c r="O186" s="40"/>
      <c r="P186" s="40"/>
      <c r="Q186" s="40"/>
      <c r="R186" s="39" t="s">
        <v>130</v>
      </c>
      <c r="S186" s="39" t="s">
        <v>1465</v>
      </c>
      <c r="T186" s="26" t="s">
        <v>308</v>
      </c>
    </row>
    <row r="187" customFormat="false" ht="15" hidden="false" customHeight="false" outlineLevel="0" collapsed="false">
      <c r="A187" s="38" t="n">
        <v>46287</v>
      </c>
      <c r="B187" s="39" t="s">
        <v>61</v>
      </c>
      <c r="C187" s="39" t="s">
        <v>1375</v>
      </c>
      <c r="D187" s="39" t="s">
        <v>1890</v>
      </c>
      <c r="E187" s="39" t="s">
        <v>116</v>
      </c>
      <c r="F187" s="39" t="s">
        <v>1891</v>
      </c>
      <c r="G187" s="39"/>
      <c r="H187" s="39" t="s">
        <v>1888</v>
      </c>
      <c r="I187" s="39" t="s">
        <v>107</v>
      </c>
      <c r="J187" s="39" t="s">
        <v>72</v>
      </c>
      <c r="K187" s="39" t="s">
        <v>82</v>
      </c>
      <c r="L187" s="39" t="s">
        <v>1487</v>
      </c>
      <c r="M187" s="39" t="s">
        <v>1358</v>
      </c>
      <c r="N187" s="39"/>
      <c r="O187" s="40"/>
      <c r="P187" s="40"/>
      <c r="Q187" s="40"/>
      <c r="R187" s="39" t="s">
        <v>125</v>
      </c>
      <c r="S187" s="39" t="s">
        <v>1488</v>
      </c>
      <c r="T187" s="26" t="s">
        <v>308</v>
      </c>
    </row>
    <row r="188" customFormat="false" ht="15" hidden="false" customHeight="false" outlineLevel="0" collapsed="false">
      <c r="A188" s="38" t="n">
        <v>46287</v>
      </c>
      <c r="B188" s="39" t="s">
        <v>61</v>
      </c>
      <c r="C188" s="39" t="s">
        <v>1683</v>
      </c>
      <c r="D188" s="39" t="s">
        <v>1892</v>
      </c>
      <c r="E188" s="39" t="s">
        <v>116</v>
      </c>
      <c r="F188" s="39" t="s">
        <v>1893</v>
      </c>
      <c r="G188" s="39"/>
      <c r="H188" s="39" t="s">
        <v>1888</v>
      </c>
      <c r="I188" s="39" t="s">
        <v>107</v>
      </c>
      <c r="J188" s="39" t="s">
        <v>75</v>
      </c>
      <c r="K188" s="39" t="s">
        <v>95</v>
      </c>
      <c r="L188" s="39" t="s">
        <v>1349</v>
      </c>
      <c r="M188" s="39" t="s">
        <v>1358</v>
      </c>
      <c r="N188" s="39"/>
      <c r="O188" s="40"/>
      <c r="P188" s="40"/>
      <c r="Q188" s="40"/>
      <c r="R188" s="39" t="s">
        <v>130</v>
      </c>
      <c r="S188" s="39" t="s">
        <v>1465</v>
      </c>
      <c r="T188" s="26" t="s">
        <v>308</v>
      </c>
    </row>
    <row r="189" customFormat="false" ht="15" hidden="false" customHeight="false" outlineLevel="0" collapsed="false">
      <c r="A189" s="38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40"/>
      <c r="P189" s="40"/>
      <c r="Q189" s="40"/>
      <c r="R189" s="39"/>
      <c r="S189" s="39"/>
    </row>
    <row r="190" customFormat="false" ht="15" hidden="false" customHeight="false" outlineLevel="0" collapsed="false">
      <c r="A190" s="38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40"/>
      <c r="P190" s="40"/>
      <c r="Q190" s="40"/>
      <c r="R190" s="39"/>
      <c r="S190" s="39"/>
    </row>
    <row r="191" customFormat="false" ht="15" hidden="false" customHeight="false" outlineLevel="0" collapsed="false">
      <c r="A191" s="38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40"/>
      <c r="P191" s="40"/>
      <c r="Q191" s="40"/>
      <c r="R191" s="39"/>
      <c r="S191" s="39"/>
    </row>
    <row r="192" customFormat="false" ht="15" hidden="false" customHeight="false" outlineLevel="0" collapsed="false">
      <c r="A192" s="38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40"/>
      <c r="P192" s="40"/>
      <c r="Q192" s="40"/>
      <c r="R192" s="39"/>
      <c r="S192" s="39"/>
    </row>
    <row r="193" customFormat="false" ht="15" hidden="false" customHeight="false" outlineLevel="0" collapsed="false">
      <c r="A193" s="38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40"/>
      <c r="P193" s="40"/>
      <c r="Q193" s="40"/>
      <c r="R193" s="39"/>
      <c r="S193" s="39"/>
    </row>
    <row r="194" customFormat="false" ht="15" hidden="false" customHeight="false" outlineLevel="0" collapsed="false">
      <c r="A194" s="38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40"/>
      <c r="P194" s="40"/>
      <c r="Q194" s="40"/>
      <c r="R194" s="39"/>
      <c r="S194" s="39"/>
    </row>
    <row r="195" customFormat="false" ht="15" hidden="false" customHeight="false" outlineLevel="0" collapsed="false">
      <c r="A195" s="38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40"/>
      <c r="P195" s="40"/>
      <c r="Q195" s="40"/>
      <c r="R195" s="39"/>
      <c r="S195" s="39"/>
    </row>
    <row r="196" customFormat="false" ht="15" hidden="false" customHeight="false" outlineLevel="0" collapsed="false">
      <c r="A196" s="38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40"/>
      <c r="P196" s="40"/>
      <c r="Q196" s="40"/>
      <c r="R196" s="39"/>
      <c r="S196" s="39"/>
    </row>
    <row r="197" customFormat="false" ht="15" hidden="false" customHeight="false" outlineLevel="0" collapsed="false">
      <c r="A197" s="38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40"/>
      <c r="P197" s="40"/>
      <c r="Q197" s="40"/>
      <c r="R197" s="39"/>
      <c r="S197" s="39"/>
    </row>
    <row r="198" customFormat="false" ht="15" hidden="false" customHeight="false" outlineLevel="0" collapsed="false">
      <c r="A198" s="38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40"/>
      <c r="P198" s="40"/>
      <c r="Q198" s="40"/>
      <c r="R198" s="39"/>
      <c r="S198" s="39"/>
    </row>
    <row r="199" customFormat="false" ht="15" hidden="false" customHeight="false" outlineLevel="0" collapsed="false">
      <c r="A199" s="38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40"/>
      <c r="P199" s="40"/>
      <c r="Q199" s="40"/>
      <c r="R199" s="39"/>
      <c r="S199" s="39"/>
    </row>
    <row r="200" customFormat="false" ht="15" hidden="false" customHeight="false" outlineLevel="0" collapsed="false">
      <c r="A200" s="38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40"/>
      <c r="P200" s="40"/>
      <c r="Q200" s="40"/>
      <c r="R200" s="39"/>
      <c r="S200" s="39"/>
    </row>
    <row r="201" customFormat="false" ht="15" hidden="false" customHeight="false" outlineLevel="0" collapsed="false">
      <c r="A201" s="38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40"/>
      <c r="P201" s="40"/>
      <c r="Q201" s="40"/>
      <c r="R201" s="39"/>
      <c r="S201" s="39"/>
    </row>
    <row r="202" customFormat="false" ht="15" hidden="false" customHeight="false" outlineLevel="0" collapsed="false">
      <c r="A202" s="38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40"/>
      <c r="P202" s="40"/>
      <c r="Q202" s="40"/>
      <c r="R202" s="39"/>
      <c r="S202" s="39"/>
    </row>
    <row r="203" customFormat="false" ht="15" hidden="false" customHeight="false" outlineLevel="0" collapsed="false">
      <c r="A203" s="38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40"/>
      <c r="P203" s="40"/>
      <c r="Q203" s="40"/>
      <c r="R203" s="39"/>
      <c r="S203" s="39"/>
    </row>
    <row r="204" customFormat="false" ht="15" hidden="false" customHeight="false" outlineLevel="0" collapsed="false">
      <c r="A204" s="38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40"/>
      <c r="P204" s="40"/>
      <c r="Q204" s="40"/>
      <c r="R204" s="39"/>
      <c r="S204" s="39"/>
    </row>
    <row r="205" customFormat="false" ht="15" hidden="false" customHeight="false" outlineLevel="0" collapsed="false">
      <c r="A205" s="38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40"/>
      <c r="P205" s="40"/>
      <c r="Q205" s="40"/>
      <c r="R205" s="39"/>
      <c r="S205" s="39"/>
    </row>
    <row r="206" customFormat="false" ht="15" hidden="false" customHeight="false" outlineLevel="0" collapsed="false">
      <c r="A206" s="38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40"/>
      <c r="P206" s="40"/>
      <c r="Q206" s="40"/>
      <c r="R206" s="39"/>
      <c r="S206" s="39"/>
    </row>
    <row r="207" customFormat="false" ht="15" hidden="false" customHeight="false" outlineLevel="0" collapsed="false">
      <c r="A207" s="38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40"/>
      <c r="P207" s="40"/>
      <c r="Q207" s="40"/>
      <c r="R207" s="39"/>
      <c r="S207" s="39"/>
    </row>
    <row r="208" customFormat="false" ht="15" hidden="false" customHeight="false" outlineLevel="0" collapsed="false">
      <c r="A208" s="38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40"/>
      <c r="P208" s="40"/>
      <c r="Q208" s="40"/>
      <c r="R208" s="39"/>
      <c r="S208" s="39"/>
    </row>
    <row r="209" customFormat="false" ht="15" hidden="false" customHeight="false" outlineLevel="0" collapsed="false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40"/>
      <c r="P209" s="40"/>
      <c r="Q209" s="40"/>
      <c r="R209" s="39"/>
      <c r="S209" s="39"/>
    </row>
    <row r="210" customFormat="false" ht="15" hidden="false" customHeight="false" outlineLevel="0" collapsed="false">
      <c r="A210" s="38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40"/>
      <c r="P210" s="40"/>
      <c r="Q210" s="40"/>
      <c r="R210" s="39"/>
      <c r="S210" s="39"/>
    </row>
    <row r="211" customFormat="false" ht="15" hidden="false" customHeight="false" outlineLevel="0" collapsed="false">
      <c r="A211" s="38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40"/>
      <c r="P211" s="40"/>
      <c r="Q211" s="40"/>
      <c r="R211" s="39"/>
      <c r="S211" s="39"/>
    </row>
    <row r="212" customFormat="false" ht="15" hidden="false" customHeight="false" outlineLevel="0" collapsed="false">
      <c r="A212" s="38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40"/>
      <c r="P212" s="40"/>
      <c r="Q212" s="40"/>
      <c r="R212" s="39"/>
      <c r="S212" s="39"/>
    </row>
    <row r="213" customFormat="false" ht="15" hidden="false" customHeight="false" outlineLevel="0" collapsed="false">
      <c r="A213" s="38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40"/>
      <c r="P213" s="40"/>
      <c r="Q213" s="40"/>
      <c r="R213" s="39"/>
      <c r="S213" s="39"/>
    </row>
    <row r="214" customFormat="false" ht="15" hidden="false" customHeight="false" outlineLevel="0" collapsed="false">
      <c r="A214" s="38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40"/>
      <c r="P214" s="40"/>
      <c r="Q214" s="40"/>
      <c r="R214" s="39"/>
      <c r="S214" s="39"/>
    </row>
    <row r="215" customFormat="false" ht="15" hidden="false" customHeight="false" outlineLevel="0" collapsed="false">
      <c r="A215" s="38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40"/>
      <c r="P215" s="40"/>
      <c r="Q215" s="40"/>
      <c r="R215" s="39"/>
      <c r="S215" s="39"/>
    </row>
    <row r="216" customFormat="false" ht="15" hidden="false" customHeight="false" outlineLevel="0" collapsed="false">
      <c r="A216" s="38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40"/>
      <c r="P216" s="40"/>
      <c r="Q216" s="40"/>
      <c r="R216" s="39"/>
      <c r="S216" s="39"/>
    </row>
    <row r="217" customFormat="false" ht="15" hidden="false" customHeight="false" outlineLevel="0" collapsed="false">
      <c r="A217" s="38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40"/>
      <c r="P217" s="40"/>
      <c r="Q217" s="40"/>
      <c r="R217" s="39"/>
      <c r="S217" s="39"/>
    </row>
    <row r="218" customFormat="false" ht="15" hidden="false" customHeight="false" outlineLevel="0" collapsed="false">
      <c r="A218" s="38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40"/>
      <c r="P218" s="40"/>
      <c r="Q218" s="40"/>
      <c r="R218" s="39"/>
      <c r="S218" s="39"/>
    </row>
    <row r="219" customFormat="false" ht="15" hidden="false" customHeight="false" outlineLevel="0" collapsed="false">
      <c r="A219" s="38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40"/>
      <c r="P219" s="40"/>
      <c r="Q219" s="40"/>
      <c r="R219" s="39"/>
      <c r="S219" s="39"/>
    </row>
    <row r="220" customFormat="false" ht="15" hidden="false" customHeight="false" outlineLevel="0" collapsed="false">
      <c r="A220" s="38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40"/>
      <c r="P220" s="40"/>
      <c r="Q220" s="40"/>
      <c r="R220" s="39"/>
      <c r="S220" s="39"/>
    </row>
    <row r="221" customFormat="false" ht="15" hidden="false" customHeight="false" outlineLevel="0" collapsed="false">
      <c r="A221" s="38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40"/>
      <c r="P221" s="40"/>
      <c r="Q221" s="40"/>
      <c r="R221" s="39"/>
      <c r="S221" s="39"/>
    </row>
    <row r="222" customFormat="false" ht="15" hidden="false" customHeight="false" outlineLevel="0" collapsed="false">
      <c r="A222" s="38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40"/>
      <c r="P222" s="40"/>
      <c r="Q222" s="40"/>
      <c r="R222" s="39"/>
      <c r="S222" s="39"/>
    </row>
    <row r="223" customFormat="false" ht="15" hidden="false" customHeight="false" outlineLevel="0" collapsed="false">
      <c r="A223" s="38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40"/>
      <c r="P223" s="40"/>
      <c r="Q223" s="40"/>
      <c r="R223" s="39"/>
      <c r="S223" s="39"/>
    </row>
    <row r="224" customFormat="false" ht="15" hidden="false" customHeight="false" outlineLevel="0" collapsed="false">
      <c r="A224" s="38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40"/>
      <c r="P224" s="40"/>
      <c r="Q224" s="40"/>
      <c r="R224" s="39"/>
      <c r="S224" s="39"/>
    </row>
    <row r="225" customFormat="false" ht="15" hidden="false" customHeight="false" outlineLevel="0" collapsed="false">
      <c r="A225" s="38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40"/>
      <c r="P225" s="40"/>
      <c r="Q225" s="40"/>
      <c r="R225" s="39"/>
      <c r="S225" s="39"/>
    </row>
    <row r="226" customFormat="false" ht="15" hidden="false" customHeight="false" outlineLevel="0" collapsed="false">
      <c r="A226" s="38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40"/>
      <c r="P226" s="40"/>
      <c r="Q226" s="40"/>
      <c r="R226" s="39"/>
      <c r="S226" s="39"/>
    </row>
    <row r="227" customFormat="false" ht="15" hidden="false" customHeight="false" outlineLevel="0" collapsed="false">
      <c r="A227" s="38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40"/>
      <c r="P227" s="40"/>
      <c r="Q227" s="40"/>
      <c r="R227" s="39"/>
      <c r="S227" s="39"/>
    </row>
    <row r="228" customFormat="false" ht="15" hidden="false" customHeight="false" outlineLevel="0" collapsed="false">
      <c r="A228" s="38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40"/>
      <c r="P228" s="40"/>
      <c r="Q228" s="40"/>
      <c r="R228" s="39"/>
      <c r="S228" s="39"/>
    </row>
    <row r="229" customFormat="false" ht="15" hidden="false" customHeight="false" outlineLevel="0" collapsed="false">
      <c r="A229" s="38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40"/>
      <c r="P229" s="40"/>
      <c r="Q229" s="40"/>
      <c r="R229" s="39"/>
      <c r="S229" s="39"/>
    </row>
    <row r="230" customFormat="false" ht="15" hidden="false" customHeight="false" outlineLevel="0" collapsed="false">
      <c r="A230" s="38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40"/>
      <c r="P230" s="40"/>
      <c r="Q230" s="40"/>
      <c r="R230" s="39"/>
      <c r="S230" s="39"/>
    </row>
    <row r="231" customFormat="false" ht="15" hidden="false" customHeight="false" outlineLevel="0" collapsed="false">
      <c r="A231" s="38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40"/>
      <c r="P231" s="40"/>
      <c r="Q231" s="40"/>
      <c r="R231" s="39"/>
      <c r="S231" s="39"/>
    </row>
    <row r="232" customFormat="false" ht="15" hidden="false" customHeight="false" outlineLevel="0" collapsed="false">
      <c r="A232" s="38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40"/>
      <c r="P232" s="40"/>
      <c r="Q232" s="40"/>
      <c r="R232" s="39"/>
      <c r="S232" s="39"/>
    </row>
    <row r="233" customFormat="false" ht="15" hidden="false" customHeight="false" outlineLevel="0" collapsed="false">
      <c r="A233" s="38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40"/>
      <c r="P233" s="40"/>
      <c r="Q233" s="40"/>
      <c r="R233" s="39"/>
      <c r="S233" s="39"/>
    </row>
    <row r="234" customFormat="false" ht="15" hidden="false" customHeight="false" outlineLevel="0" collapsed="false">
      <c r="A234" s="38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40"/>
      <c r="P234" s="40"/>
      <c r="Q234" s="40"/>
      <c r="R234" s="39"/>
      <c r="S234" s="39"/>
    </row>
    <row r="235" customFormat="false" ht="15" hidden="false" customHeight="false" outlineLevel="0" collapsed="false">
      <c r="A235" s="38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40"/>
      <c r="P235" s="40"/>
      <c r="Q235" s="40"/>
      <c r="R235" s="39"/>
      <c r="S235" s="39"/>
    </row>
    <row r="236" customFormat="false" ht="15" hidden="false" customHeight="false" outlineLevel="0" collapsed="false">
      <c r="A236" s="38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40"/>
      <c r="P236" s="40"/>
      <c r="Q236" s="40"/>
      <c r="R236" s="39"/>
      <c r="S236" s="39"/>
    </row>
    <row r="237" customFormat="false" ht="15" hidden="false" customHeight="false" outlineLevel="0" collapsed="false">
      <c r="A237" s="38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40"/>
      <c r="P237" s="40"/>
      <c r="Q237" s="40"/>
      <c r="R237" s="39"/>
      <c r="S237" s="39"/>
    </row>
    <row r="238" customFormat="false" ht="15" hidden="false" customHeight="false" outlineLevel="0" collapsed="false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40"/>
      <c r="P238" s="40"/>
      <c r="Q238" s="40"/>
      <c r="R238" s="39"/>
      <c r="S238" s="39"/>
    </row>
    <row r="239" customFormat="false" ht="15" hidden="false" customHeight="false" outlineLevel="0" collapsed="false">
      <c r="A239" s="38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40"/>
      <c r="P239" s="40"/>
      <c r="Q239" s="40"/>
      <c r="R239" s="39"/>
      <c r="S239" s="39"/>
    </row>
    <row r="240" customFormat="false" ht="15" hidden="false" customHeight="false" outlineLevel="0" collapsed="false">
      <c r="A240" s="38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40"/>
      <c r="P240" s="40"/>
      <c r="Q240" s="40"/>
      <c r="R240" s="39"/>
      <c r="S240" s="39"/>
    </row>
    <row r="241" customFormat="false" ht="15" hidden="false" customHeight="false" outlineLevel="0" collapsed="false">
      <c r="A241" s="38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40"/>
      <c r="P241" s="40"/>
      <c r="Q241" s="40"/>
      <c r="R241" s="39"/>
      <c r="S241" s="39"/>
    </row>
    <row r="242" customFormat="false" ht="15" hidden="false" customHeight="false" outlineLevel="0" collapsed="false">
      <c r="A242" s="38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40"/>
      <c r="P242" s="40"/>
      <c r="Q242" s="40"/>
      <c r="R242" s="39"/>
      <c r="S242" s="39"/>
    </row>
    <row r="243" customFormat="false" ht="15" hidden="false" customHeight="false" outlineLevel="0" collapsed="false">
      <c r="A243" s="38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40"/>
      <c r="P243" s="40"/>
      <c r="Q243" s="40"/>
      <c r="R243" s="39"/>
      <c r="S243" s="39"/>
    </row>
    <row r="244" customFormat="false" ht="15" hidden="false" customHeight="false" outlineLevel="0" collapsed="false">
      <c r="A244" s="38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40"/>
      <c r="P244" s="40"/>
      <c r="Q244" s="40"/>
      <c r="R244" s="39"/>
      <c r="S244" s="39"/>
    </row>
    <row r="245" customFormat="false" ht="15" hidden="false" customHeight="false" outlineLevel="0" collapsed="false">
      <c r="A245" s="38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40"/>
      <c r="P245" s="40"/>
      <c r="Q245" s="40"/>
      <c r="R245" s="39"/>
      <c r="S245" s="39"/>
    </row>
    <row r="246" customFormat="false" ht="15" hidden="false" customHeight="false" outlineLevel="0" collapsed="false">
      <c r="A246" s="38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40"/>
      <c r="P246" s="40"/>
      <c r="Q246" s="40"/>
      <c r="R246" s="39"/>
      <c r="S246" s="39"/>
    </row>
    <row r="247" customFormat="false" ht="15" hidden="false" customHeight="false" outlineLevel="0" collapsed="false">
      <c r="A247" s="38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40"/>
      <c r="P247" s="40"/>
      <c r="Q247" s="40"/>
      <c r="R247" s="39"/>
      <c r="S247" s="39"/>
    </row>
    <row r="248" customFormat="false" ht="15" hidden="false" customHeight="false" outlineLevel="0" collapsed="false">
      <c r="A248" s="38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40"/>
      <c r="P248" s="40"/>
      <c r="Q248" s="40"/>
      <c r="R248" s="39"/>
      <c r="S248" s="39"/>
    </row>
    <row r="249" customFormat="false" ht="15" hidden="false" customHeight="false" outlineLevel="0" collapsed="false">
      <c r="A249" s="38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40"/>
      <c r="P249" s="40"/>
      <c r="Q249" s="40"/>
      <c r="R249" s="39"/>
      <c r="S249" s="39"/>
    </row>
    <row r="250" customFormat="false" ht="15" hidden="false" customHeight="false" outlineLevel="0" collapsed="false">
      <c r="A250" s="38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40"/>
      <c r="P250" s="40"/>
      <c r="Q250" s="40"/>
      <c r="R250" s="39"/>
      <c r="S250" s="39"/>
    </row>
    <row r="251" customFormat="false" ht="15" hidden="false" customHeight="false" outlineLevel="0" collapsed="false">
      <c r="A251" s="38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40"/>
      <c r="P251" s="40"/>
      <c r="Q251" s="40"/>
      <c r="R251" s="39"/>
      <c r="S251" s="39"/>
    </row>
    <row r="252" customFormat="false" ht="15" hidden="false" customHeight="false" outlineLevel="0" collapsed="false">
      <c r="A252" s="38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40"/>
      <c r="P252" s="40"/>
      <c r="Q252" s="40"/>
      <c r="R252" s="39"/>
      <c r="S252" s="39"/>
    </row>
    <row r="253" customFormat="false" ht="15" hidden="false" customHeight="false" outlineLevel="0" collapsed="false">
      <c r="A253" s="38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40"/>
      <c r="P253" s="40"/>
      <c r="Q253" s="40"/>
      <c r="R253" s="39"/>
      <c r="S253" s="39"/>
    </row>
    <row r="254" customFormat="false" ht="15" hidden="false" customHeight="false" outlineLevel="0" collapsed="false">
      <c r="A254" s="38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40"/>
      <c r="P254" s="40"/>
      <c r="Q254" s="40"/>
      <c r="R254" s="39"/>
      <c r="S254" s="39"/>
    </row>
    <row r="255" customFormat="false" ht="15" hidden="false" customHeight="false" outlineLevel="0" collapsed="false">
      <c r="A255" s="38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40"/>
      <c r="P255" s="40"/>
      <c r="Q255" s="40"/>
      <c r="R255" s="39"/>
      <c r="S255" s="39"/>
    </row>
    <row r="256" customFormat="false" ht="15" hidden="false" customHeight="false" outlineLevel="0" collapsed="false">
      <c r="A256" s="38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40"/>
      <c r="P256" s="40"/>
      <c r="Q256" s="40"/>
      <c r="R256" s="39"/>
      <c r="S256" s="39"/>
    </row>
    <row r="257" customFormat="false" ht="15" hidden="false" customHeight="false" outlineLevel="0" collapsed="false">
      <c r="A257" s="38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40"/>
      <c r="P257" s="40"/>
      <c r="Q257" s="40"/>
      <c r="R257" s="39"/>
      <c r="S257" s="39"/>
    </row>
    <row r="258" customFormat="false" ht="15" hidden="false" customHeight="false" outlineLevel="0" collapsed="false">
      <c r="A258" s="38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40"/>
      <c r="P258" s="40"/>
      <c r="Q258" s="40"/>
      <c r="R258" s="39"/>
      <c r="S258" s="39"/>
    </row>
    <row r="259" customFormat="false" ht="15" hidden="false" customHeight="false" outlineLevel="0" collapsed="false">
      <c r="A259" s="38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40"/>
      <c r="P259" s="40"/>
      <c r="Q259" s="40"/>
      <c r="R259" s="39"/>
      <c r="S259" s="39"/>
    </row>
    <row r="260" customFormat="false" ht="15" hidden="false" customHeight="false" outlineLevel="0" collapsed="false">
      <c r="A260" s="38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40"/>
      <c r="P260" s="40"/>
      <c r="Q260" s="40"/>
      <c r="R260" s="39"/>
      <c r="S260" s="39"/>
    </row>
    <row r="261" customFormat="false" ht="15" hidden="false" customHeight="false" outlineLevel="0" collapsed="false">
      <c r="A261" s="38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40"/>
      <c r="P261" s="40"/>
      <c r="Q261" s="40"/>
      <c r="R261" s="39"/>
      <c r="S261" s="39"/>
    </row>
    <row r="262" customFormat="false" ht="15" hidden="false" customHeight="false" outlineLevel="0" collapsed="false">
      <c r="A262" s="38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40"/>
      <c r="P262" s="40"/>
      <c r="Q262" s="40"/>
      <c r="R262" s="39"/>
      <c r="S262" s="39"/>
    </row>
    <row r="263" customFormat="false" ht="15" hidden="false" customHeight="false" outlineLevel="0" collapsed="false">
      <c r="A263" s="38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40"/>
      <c r="P263" s="40"/>
      <c r="Q263" s="40"/>
      <c r="R263" s="39"/>
      <c r="S263" s="39"/>
    </row>
    <row r="264" customFormat="false" ht="15" hidden="false" customHeight="false" outlineLevel="0" collapsed="false">
      <c r="A264" s="38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40"/>
      <c r="P264" s="40"/>
      <c r="Q264" s="40"/>
      <c r="R264" s="39"/>
      <c r="S264" s="39"/>
    </row>
    <row r="265" customFormat="false" ht="15" hidden="false" customHeight="false" outlineLevel="0" collapsed="false">
      <c r="A265" s="38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40"/>
      <c r="P265" s="40"/>
      <c r="Q265" s="40"/>
      <c r="R265" s="39"/>
      <c r="S265" s="39"/>
    </row>
    <row r="266" customFormat="false" ht="15" hidden="false" customHeight="false" outlineLevel="0" collapsed="false">
      <c r="A266" s="38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40"/>
      <c r="P266" s="40"/>
      <c r="Q266" s="40"/>
      <c r="R266" s="39"/>
      <c r="S266" s="39"/>
    </row>
    <row r="267" customFormat="false" ht="15" hidden="false" customHeight="false" outlineLevel="0" collapsed="false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40"/>
      <c r="P267" s="40"/>
      <c r="Q267" s="40"/>
      <c r="R267" s="39"/>
      <c r="S267" s="39"/>
    </row>
    <row r="268" customFormat="false" ht="15" hidden="false" customHeight="false" outlineLevel="0" collapsed="false">
      <c r="A268" s="38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40"/>
      <c r="P268" s="40"/>
      <c r="Q268" s="40"/>
      <c r="R268" s="39"/>
      <c r="S268" s="39"/>
    </row>
    <row r="269" customFormat="false" ht="15" hidden="false" customHeight="false" outlineLevel="0" collapsed="false">
      <c r="A269" s="38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40"/>
      <c r="P269" s="40"/>
      <c r="Q269" s="40"/>
      <c r="R269" s="39"/>
      <c r="S269" s="39"/>
    </row>
    <row r="270" customFormat="false" ht="15" hidden="false" customHeight="false" outlineLevel="0" collapsed="false">
      <c r="A270" s="38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40"/>
      <c r="P270" s="40"/>
      <c r="Q270" s="40"/>
      <c r="R270" s="39"/>
      <c r="S270" s="39"/>
    </row>
    <row r="271" customFormat="false" ht="15" hidden="false" customHeight="false" outlineLevel="0" collapsed="false">
      <c r="A271" s="38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40"/>
      <c r="P271" s="40"/>
      <c r="Q271" s="40"/>
      <c r="R271" s="39"/>
      <c r="S271" s="39"/>
    </row>
    <row r="272" customFormat="false" ht="15" hidden="false" customHeight="false" outlineLevel="0" collapsed="false">
      <c r="A272" s="38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40"/>
      <c r="P272" s="40"/>
      <c r="Q272" s="40"/>
      <c r="R272" s="39"/>
      <c r="S272" s="39"/>
    </row>
    <row r="273" customFormat="false" ht="15" hidden="false" customHeight="false" outlineLevel="0" collapsed="false">
      <c r="A273" s="38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40"/>
      <c r="P273" s="40"/>
      <c r="Q273" s="40"/>
      <c r="R273" s="39"/>
      <c r="S273" s="39"/>
    </row>
    <row r="274" customFormat="false" ht="15" hidden="false" customHeight="false" outlineLevel="0" collapsed="false">
      <c r="A274" s="38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40"/>
      <c r="P274" s="40"/>
      <c r="Q274" s="40"/>
      <c r="R274" s="39"/>
      <c r="S274" s="39"/>
    </row>
    <row r="275" customFormat="false" ht="15" hidden="false" customHeight="false" outlineLevel="0" collapsed="false">
      <c r="A275" s="38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40"/>
      <c r="P275" s="40"/>
      <c r="Q275" s="40"/>
      <c r="R275" s="39"/>
      <c r="S275" s="39"/>
    </row>
    <row r="276" customFormat="false" ht="15" hidden="false" customHeight="false" outlineLevel="0" collapsed="false">
      <c r="A276" s="38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40"/>
      <c r="P276" s="40"/>
      <c r="Q276" s="40"/>
      <c r="R276" s="39"/>
      <c r="S276" s="39"/>
    </row>
    <row r="277" customFormat="false" ht="15" hidden="false" customHeight="false" outlineLevel="0" collapsed="false">
      <c r="A277" s="38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40"/>
      <c r="P277" s="40"/>
      <c r="Q277" s="40"/>
      <c r="R277" s="39"/>
      <c r="S277" s="39"/>
    </row>
    <row r="278" customFormat="false" ht="15" hidden="false" customHeight="false" outlineLevel="0" collapsed="false">
      <c r="A278" s="38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40"/>
      <c r="P278" s="40"/>
      <c r="Q278" s="40"/>
      <c r="R278" s="39"/>
      <c r="S278" s="39"/>
    </row>
    <row r="279" customFormat="false" ht="15" hidden="false" customHeight="false" outlineLevel="0" collapsed="false">
      <c r="A279" s="38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40"/>
      <c r="P279" s="40"/>
      <c r="Q279" s="40"/>
      <c r="R279" s="39"/>
      <c r="S279" s="39"/>
    </row>
    <row r="280" customFormat="false" ht="15" hidden="false" customHeight="false" outlineLevel="0" collapsed="false">
      <c r="A280" s="38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40"/>
      <c r="P280" s="40"/>
      <c r="Q280" s="40"/>
      <c r="R280" s="39"/>
      <c r="S280" s="39"/>
    </row>
    <row r="281" customFormat="false" ht="15" hidden="false" customHeight="false" outlineLevel="0" collapsed="false">
      <c r="A281" s="38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40"/>
      <c r="P281" s="40"/>
      <c r="Q281" s="40"/>
      <c r="R281" s="39"/>
      <c r="S281" s="39"/>
    </row>
    <row r="282" customFormat="false" ht="15" hidden="false" customHeight="false" outlineLevel="0" collapsed="false">
      <c r="A282" s="38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40"/>
      <c r="P282" s="40"/>
      <c r="Q282" s="40"/>
      <c r="R282" s="39"/>
      <c r="S282" s="39"/>
    </row>
    <row r="283" customFormat="false" ht="15" hidden="false" customHeight="false" outlineLevel="0" collapsed="false">
      <c r="A283" s="38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40"/>
      <c r="P283" s="40"/>
      <c r="Q283" s="40"/>
      <c r="R283" s="39"/>
      <c r="S283" s="39"/>
    </row>
    <row r="284" customFormat="false" ht="15" hidden="false" customHeight="false" outlineLevel="0" collapsed="false">
      <c r="A284" s="38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40"/>
      <c r="P284" s="40"/>
      <c r="Q284" s="40"/>
      <c r="R284" s="39"/>
      <c r="S284" s="39"/>
    </row>
    <row r="285" customFormat="false" ht="15" hidden="false" customHeight="false" outlineLevel="0" collapsed="false">
      <c r="A285" s="38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40"/>
      <c r="P285" s="40"/>
      <c r="Q285" s="40"/>
      <c r="R285" s="39"/>
      <c r="S285" s="39"/>
    </row>
    <row r="286" customFormat="false" ht="15" hidden="false" customHeight="false" outlineLevel="0" collapsed="false">
      <c r="A286" s="38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40"/>
      <c r="P286" s="40"/>
      <c r="Q286" s="40"/>
      <c r="R286" s="39"/>
      <c r="S286" s="39"/>
    </row>
    <row r="287" customFormat="false" ht="15" hidden="false" customHeight="false" outlineLevel="0" collapsed="false">
      <c r="A287" s="38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40"/>
      <c r="P287" s="40"/>
      <c r="Q287" s="40"/>
      <c r="R287" s="39"/>
      <c r="S287" s="39"/>
    </row>
    <row r="288" customFormat="false" ht="15" hidden="false" customHeight="false" outlineLevel="0" collapsed="false">
      <c r="A288" s="38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40"/>
      <c r="P288" s="40"/>
      <c r="Q288" s="40"/>
      <c r="R288" s="39"/>
      <c r="S288" s="39"/>
    </row>
    <row r="289" customFormat="false" ht="15" hidden="false" customHeight="false" outlineLevel="0" collapsed="false">
      <c r="A289" s="38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40"/>
      <c r="P289" s="40"/>
      <c r="Q289" s="40"/>
      <c r="R289" s="39"/>
      <c r="S289" s="39"/>
    </row>
    <row r="290" customFormat="false" ht="15" hidden="false" customHeight="false" outlineLevel="0" collapsed="false">
      <c r="A290" s="38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40"/>
      <c r="P290" s="40"/>
      <c r="Q290" s="40"/>
      <c r="R290" s="39"/>
      <c r="S290" s="39"/>
    </row>
    <row r="291" customFormat="false" ht="15" hidden="false" customHeight="false" outlineLevel="0" collapsed="false">
      <c r="A291" s="38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40"/>
      <c r="P291" s="40"/>
      <c r="Q291" s="40"/>
      <c r="R291" s="39"/>
      <c r="S291" s="39"/>
    </row>
    <row r="292" customFormat="false" ht="15" hidden="false" customHeight="false" outlineLevel="0" collapsed="false">
      <c r="A292" s="38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40"/>
      <c r="P292" s="40"/>
      <c r="Q292" s="40"/>
      <c r="R292" s="39"/>
      <c r="S292" s="39"/>
    </row>
    <row r="293" customFormat="false" ht="15" hidden="false" customHeight="false" outlineLevel="0" collapsed="false">
      <c r="A293" s="38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40"/>
      <c r="P293" s="40"/>
      <c r="Q293" s="40"/>
      <c r="R293" s="39"/>
      <c r="S293" s="39"/>
    </row>
    <row r="294" customFormat="false" ht="15" hidden="false" customHeight="false" outlineLevel="0" collapsed="false">
      <c r="A294" s="38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40"/>
      <c r="P294" s="40"/>
      <c r="Q294" s="40"/>
      <c r="R294" s="39"/>
      <c r="S294" s="39"/>
    </row>
    <row r="295" customFormat="false" ht="15" hidden="false" customHeight="false" outlineLevel="0" collapsed="false">
      <c r="A295" s="38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40"/>
      <c r="P295" s="40"/>
      <c r="Q295" s="40"/>
      <c r="R295" s="39"/>
      <c r="S295" s="39"/>
    </row>
    <row r="296" customFormat="false" ht="15" hidden="false" customHeight="false" outlineLevel="0" collapsed="false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40"/>
      <c r="P296" s="40"/>
      <c r="Q296" s="40"/>
      <c r="R296" s="39"/>
      <c r="S296" s="39"/>
    </row>
    <row r="297" customFormat="false" ht="15" hidden="false" customHeight="false" outlineLevel="0" collapsed="false">
      <c r="A297" s="38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40"/>
      <c r="P297" s="40"/>
      <c r="Q297" s="40"/>
      <c r="R297" s="39"/>
      <c r="S297" s="39"/>
    </row>
    <row r="298" customFormat="false" ht="15" hidden="false" customHeight="false" outlineLevel="0" collapsed="false">
      <c r="A298" s="38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40"/>
      <c r="P298" s="40"/>
      <c r="Q298" s="40"/>
      <c r="R298" s="39"/>
      <c r="S298" s="39"/>
    </row>
    <row r="299" customFormat="false" ht="15" hidden="false" customHeight="false" outlineLevel="0" collapsed="false">
      <c r="A299" s="38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40"/>
      <c r="P299" s="40"/>
      <c r="Q299" s="40"/>
      <c r="R299" s="39"/>
      <c r="S299" s="39"/>
    </row>
    <row r="300" customFormat="false" ht="15" hidden="false" customHeight="false" outlineLevel="0" collapsed="false">
      <c r="A300" s="38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40"/>
      <c r="P300" s="40"/>
      <c r="Q300" s="40"/>
      <c r="R300" s="39"/>
      <c r="S300" s="39"/>
    </row>
    <row r="301" customFormat="false" ht="15" hidden="false" customHeight="false" outlineLevel="0" collapsed="false">
      <c r="A301" s="38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40"/>
      <c r="P301" s="40"/>
      <c r="Q301" s="40"/>
      <c r="R301" s="39"/>
      <c r="S301" s="39"/>
    </row>
    <row r="302" customFormat="false" ht="15" hidden="false" customHeight="false" outlineLevel="0" collapsed="false">
      <c r="A302" s="38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40"/>
      <c r="P302" s="40"/>
      <c r="Q302" s="40"/>
      <c r="R302" s="39"/>
      <c r="S302" s="39"/>
    </row>
    <row r="303" customFormat="false" ht="15" hidden="false" customHeight="false" outlineLevel="0" collapsed="false">
      <c r="A303" s="38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40"/>
      <c r="P303" s="40"/>
      <c r="Q303" s="40"/>
      <c r="R303" s="39"/>
      <c r="S303" s="39"/>
    </row>
    <row r="304" customFormat="false" ht="15" hidden="false" customHeight="false" outlineLevel="0" collapsed="false">
      <c r="A304" s="38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40"/>
      <c r="P304" s="40"/>
      <c r="Q304" s="40"/>
      <c r="R304" s="39"/>
      <c r="S304" s="39"/>
    </row>
    <row r="305" customFormat="false" ht="15" hidden="false" customHeight="false" outlineLevel="0" collapsed="false">
      <c r="A305" s="38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40"/>
      <c r="P305" s="40"/>
      <c r="Q305" s="40"/>
      <c r="R305" s="39"/>
      <c r="S305" s="39"/>
    </row>
    <row r="306" customFormat="false" ht="15" hidden="false" customHeight="false" outlineLevel="0" collapsed="false">
      <c r="A306" s="38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40"/>
      <c r="P306" s="40"/>
      <c r="Q306" s="40"/>
      <c r="R306" s="39"/>
      <c r="S306" s="39"/>
    </row>
    <row r="307" customFormat="false" ht="15" hidden="false" customHeight="false" outlineLevel="0" collapsed="false">
      <c r="A307" s="38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40"/>
      <c r="P307" s="40"/>
      <c r="Q307" s="40"/>
      <c r="R307" s="39"/>
      <c r="S307" s="39"/>
    </row>
    <row r="308" customFormat="false" ht="15" hidden="false" customHeight="false" outlineLevel="0" collapsed="false">
      <c r="A308" s="38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40"/>
      <c r="P308" s="40"/>
      <c r="Q308" s="40"/>
      <c r="R308" s="39"/>
      <c r="S308" s="39"/>
    </row>
    <row r="309" customFormat="false" ht="15" hidden="false" customHeight="false" outlineLevel="0" collapsed="false">
      <c r="A309" s="38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40"/>
      <c r="P309" s="40"/>
      <c r="Q309" s="40"/>
      <c r="R309" s="39"/>
      <c r="S309" s="39"/>
    </row>
    <row r="310" customFormat="false" ht="15" hidden="false" customHeight="false" outlineLevel="0" collapsed="false">
      <c r="A310" s="38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40"/>
      <c r="P310" s="40"/>
      <c r="Q310" s="40"/>
      <c r="R310" s="39"/>
      <c r="S310" s="39"/>
    </row>
    <row r="311" customFormat="false" ht="15" hidden="false" customHeight="false" outlineLevel="0" collapsed="false">
      <c r="A311" s="38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40"/>
      <c r="P311" s="40"/>
      <c r="Q311" s="40"/>
      <c r="R311" s="39"/>
      <c r="S311" s="39"/>
    </row>
    <row r="312" customFormat="false" ht="15" hidden="false" customHeight="false" outlineLevel="0" collapsed="false">
      <c r="A312" s="38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40"/>
      <c r="P312" s="40"/>
      <c r="Q312" s="40"/>
      <c r="R312" s="39"/>
      <c r="S312" s="39"/>
    </row>
    <row r="313" customFormat="false" ht="15" hidden="false" customHeight="false" outlineLevel="0" collapsed="false">
      <c r="A313" s="38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40"/>
      <c r="P313" s="40"/>
      <c r="Q313" s="40"/>
      <c r="R313" s="39"/>
      <c r="S313" s="39"/>
    </row>
    <row r="314" customFormat="false" ht="15" hidden="false" customHeight="false" outlineLevel="0" collapsed="false">
      <c r="A314" s="38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40"/>
      <c r="P314" s="40"/>
      <c r="Q314" s="40"/>
      <c r="R314" s="39"/>
      <c r="S314" s="39"/>
    </row>
    <row r="315" customFormat="false" ht="15" hidden="false" customHeight="false" outlineLevel="0" collapsed="false">
      <c r="A315" s="38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40"/>
      <c r="P315" s="40"/>
      <c r="Q315" s="40"/>
      <c r="R315" s="39"/>
      <c r="S315" s="39"/>
    </row>
    <row r="316" customFormat="false" ht="15" hidden="false" customHeight="false" outlineLevel="0" collapsed="false">
      <c r="A316" s="38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40"/>
      <c r="P316" s="40"/>
      <c r="Q316" s="40"/>
      <c r="R316" s="39"/>
      <c r="S316" s="39"/>
    </row>
    <row r="317" customFormat="false" ht="15" hidden="false" customHeight="false" outlineLevel="0" collapsed="false">
      <c r="A317" s="38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40"/>
      <c r="P317" s="40"/>
      <c r="Q317" s="40"/>
      <c r="R317" s="39"/>
      <c r="S317" s="39"/>
    </row>
    <row r="318" customFormat="false" ht="15" hidden="false" customHeight="false" outlineLevel="0" collapsed="false">
      <c r="A318" s="38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40"/>
      <c r="P318" s="40"/>
      <c r="Q318" s="40"/>
      <c r="R318" s="39"/>
      <c r="S318" s="39"/>
    </row>
    <row r="319" customFormat="false" ht="15" hidden="false" customHeight="false" outlineLevel="0" collapsed="false">
      <c r="A319" s="38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40"/>
      <c r="P319" s="40"/>
      <c r="Q319" s="40"/>
      <c r="R319" s="39"/>
      <c r="S319" s="39"/>
    </row>
    <row r="320" customFormat="false" ht="15" hidden="false" customHeight="false" outlineLevel="0" collapsed="false">
      <c r="A320" s="38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40"/>
      <c r="P320" s="40"/>
      <c r="Q320" s="40"/>
      <c r="R320" s="39"/>
      <c r="S320" s="39"/>
    </row>
    <row r="321" customFormat="false" ht="15" hidden="false" customHeight="false" outlineLevel="0" collapsed="false">
      <c r="A321" s="38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40"/>
      <c r="P321" s="40"/>
      <c r="Q321" s="40"/>
      <c r="R321" s="39"/>
      <c r="S321" s="39"/>
    </row>
    <row r="322" customFormat="false" ht="15" hidden="false" customHeight="false" outlineLevel="0" collapsed="false">
      <c r="A322" s="38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40"/>
      <c r="P322" s="40"/>
      <c r="Q322" s="40"/>
      <c r="R322" s="39"/>
      <c r="S322" s="39"/>
    </row>
    <row r="323" customFormat="false" ht="15" hidden="false" customHeight="false" outlineLevel="0" collapsed="false">
      <c r="A323" s="38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40"/>
      <c r="P323" s="40"/>
      <c r="Q323" s="40"/>
      <c r="R323" s="39"/>
      <c r="S323" s="39"/>
    </row>
    <row r="324" customFormat="false" ht="15" hidden="false" customHeight="false" outlineLevel="0" collapsed="false">
      <c r="A324" s="38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40"/>
      <c r="P324" s="40"/>
      <c r="Q324" s="40"/>
      <c r="R324" s="39"/>
      <c r="S324" s="39"/>
    </row>
    <row r="325" customFormat="false" ht="15" hidden="false" customHeight="false" outlineLevel="0" collapsed="false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40"/>
      <c r="P325" s="40"/>
      <c r="Q325" s="40"/>
      <c r="R325" s="39"/>
      <c r="S325" s="39"/>
    </row>
    <row r="326" customFormat="false" ht="15" hidden="false" customHeight="false" outlineLevel="0" collapsed="false">
      <c r="A326" s="38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40"/>
      <c r="P326" s="40"/>
      <c r="Q326" s="40"/>
      <c r="R326" s="39"/>
      <c r="S326" s="39"/>
    </row>
    <row r="327" customFormat="false" ht="15" hidden="false" customHeight="false" outlineLevel="0" collapsed="false">
      <c r="A327" s="38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40"/>
      <c r="P327" s="40"/>
      <c r="Q327" s="40"/>
      <c r="R327" s="39"/>
      <c r="S327" s="39"/>
    </row>
    <row r="328" customFormat="false" ht="15" hidden="false" customHeight="false" outlineLevel="0" collapsed="false">
      <c r="A328" s="38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40"/>
      <c r="P328" s="40"/>
      <c r="Q328" s="40"/>
      <c r="R328" s="39"/>
      <c r="S328" s="39"/>
    </row>
    <row r="329" customFormat="false" ht="15" hidden="false" customHeight="false" outlineLevel="0" collapsed="false">
      <c r="A329" s="38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40"/>
      <c r="P329" s="40"/>
      <c r="Q329" s="40"/>
      <c r="R329" s="39"/>
      <c r="S329" s="39"/>
    </row>
    <row r="330" customFormat="false" ht="15" hidden="false" customHeight="false" outlineLevel="0" collapsed="false">
      <c r="A330" s="38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40"/>
      <c r="P330" s="40"/>
      <c r="Q330" s="40"/>
      <c r="R330" s="39"/>
      <c r="S330" s="39"/>
    </row>
    <row r="331" customFormat="false" ht="15" hidden="false" customHeight="false" outlineLevel="0" collapsed="false">
      <c r="A331" s="38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40"/>
      <c r="P331" s="40"/>
      <c r="Q331" s="40"/>
      <c r="R331" s="39"/>
      <c r="S331" s="39"/>
    </row>
    <row r="332" customFormat="false" ht="15" hidden="false" customHeight="false" outlineLevel="0" collapsed="false">
      <c r="A332" s="38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40"/>
      <c r="P332" s="40"/>
      <c r="Q332" s="40"/>
      <c r="R332" s="39"/>
      <c r="S332" s="39"/>
    </row>
    <row r="333" customFormat="false" ht="15" hidden="false" customHeight="false" outlineLevel="0" collapsed="false">
      <c r="A333" s="38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40"/>
      <c r="P333" s="40"/>
      <c r="Q333" s="40"/>
      <c r="R333" s="39"/>
      <c r="S333" s="39"/>
    </row>
    <row r="334" customFormat="false" ht="15" hidden="false" customHeight="false" outlineLevel="0" collapsed="false">
      <c r="A334" s="38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40"/>
      <c r="P334" s="40"/>
      <c r="Q334" s="40"/>
      <c r="R334" s="39"/>
      <c r="S334" s="39"/>
    </row>
    <row r="335" customFormat="false" ht="15" hidden="false" customHeight="false" outlineLevel="0" collapsed="false">
      <c r="A335" s="38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40"/>
      <c r="P335" s="40"/>
      <c r="Q335" s="40"/>
      <c r="R335" s="39"/>
      <c r="S335" s="39"/>
    </row>
    <row r="336" customFormat="false" ht="15" hidden="false" customHeight="false" outlineLevel="0" collapsed="false">
      <c r="A336" s="38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40"/>
      <c r="P336" s="40"/>
      <c r="Q336" s="40"/>
      <c r="R336" s="39"/>
      <c r="S336" s="39"/>
    </row>
    <row r="337" customFormat="false" ht="15" hidden="false" customHeight="false" outlineLevel="0" collapsed="false">
      <c r="A337" s="38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40"/>
      <c r="P337" s="40"/>
      <c r="Q337" s="40"/>
      <c r="R337" s="39"/>
      <c r="S337" s="39"/>
    </row>
    <row r="338" customFormat="false" ht="15" hidden="false" customHeight="false" outlineLevel="0" collapsed="false">
      <c r="A338" s="38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40"/>
      <c r="P338" s="40"/>
      <c r="Q338" s="40"/>
      <c r="R338" s="39"/>
      <c r="S338" s="39"/>
    </row>
    <row r="339" customFormat="false" ht="15" hidden="false" customHeight="false" outlineLevel="0" collapsed="false">
      <c r="A339" s="38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40"/>
      <c r="P339" s="40"/>
      <c r="Q339" s="40"/>
      <c r="R339" s="39"/>
      <c r="S339" s="39"/>
    </row>
    <row r="340" customFormat="false" ht="15" hidden="false" customHeight="false" outlineLevel="0" collapsed="false">
      <c r="A340" s="38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40"/>
      <c r="P340" s="40"/>
      <c r="Q340" s="40"/>
      <c r="R340" s="39"/>
      <c r="S340" s="39"/>
    </row>
    <row r="341" customFormat="false" ht="15" hidden="false" customHeight="false" outlineLevel="0" collapsed="false">
      <c r="A341" s="38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40"/>
      <c r="P341" s="40"/>
      <c r="Q341" s="40"/>
      <c r="R341" s="39"/>
      <c r="S341" s="39"/>
    </row>
    <row r="342" customFormat="false" ht="15" hidden="false" customHeight="false" outlineLevel="0" collapsed="false">
      <c r="A342" s="38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40"/>
      <c r="P342" s="40"/>
      <c r="Q342" s="40"/>
      <c r="R342" s="39"/>
      <c r="S342" s="39"/>
    </row>
    <row r="343" customFormat="false" ht="15" hidden="false" customHeight="false" outlineLevel="0" collapsed="false">
      <c r="A343" s="38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40"/>
      <c r="P343" s="40"/>
      <c r="Q343" s="40"/>
      <c r="R343" s="39"/>
      <c r="S343" s="39"/>
    </row>
    <row r="344" customFormat="false" ht="15" hidden="false" customHeight="false" outlineLevel="0" collapsed="false">
      <c r="A344" s="38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40"/>
      <c r="P344" s="40"/>
      <c r="Q344" s="40"/>
      <c r="R344" s="39"/>
      <c r="S344" s="39"/>
    </row>
    <row r="345" customFormat="false" ht="15" hidden="false" customHeight="false" outlineLevel="0" collapsed="false">
      <c r="A345" s="38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40"/>
      <c r="P345" s="40"/>
      <c r="Q345" s="40"/>
      <c r="R345" s="39"/>
      <c r="S345" s="39"/>
    </row>
    <row r="346" customFormat="false" ht="15" hidden="false" customHeight="false" outlineLevel="0" collapsed="false">
      <c r="A346" s="38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40"/>
      <c r="P346" s="40"/>
      <c r="Q346" s="40"/>
      <c r="R346" s="39"/>
      <c r="S346" s="39"/>
    </row>
    <row r="347" customFormat="false" ht="15" hidden="false" customHeight="false" outlineLevel="0" collapsed="false">
      <c r="A347" s="38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40"/>
      <c r="P347" s="40"/>
      <c r="Q347" s="40"/>
      <c r="R347" s="39"/>
      <c r="S347" s="39"/>
    </row>
    <row r="348" customFormat="false" ht="15" hidden="false" customHeight="false" outlineLevel="0" collapsed="false">
      <c r="A348" s="38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40"/>
      <c r="P348" s="40"/>
      <c r="Q348" s="40"/>
      <c r="R348" s="39"/>
      <c r="S348" s="39"/>
    </row>
    <row r="349" customFormat="false" ht="15" hidden="false" customHeight="false" outlineLevel="0" collapsed="false">
      <c r="A349" s="38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40"/>
      <c r="P349" s="40"/>
      <c r="Q349" s="40"/>
      <c r="R349" s="39"/>
      <c r="S349" s="39"/>
    </row>
    <row r="350" customFormat="false" ht="15" hidden="false" customHeight="false" outlineLevel="0" collapsed="false">
      <c r="A350" s="38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40"/>
      <c r="P350" s="40"/>
      <c r="Q350" s="40"/>
      <c r="R350" s="39"/>
      <c r="S350" s="39"/>
    </row>
    <row r="351" customFormat="false" ht="15" hidden="false" customHeight="false" outlineLevel="0" collapsed="false">
      <c r="A351" s="38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40"/>
      <c r="P351" s="40"/>
      <c r="Q351" s="40"/>
      <c r="R351" s="39"/>
      <c r="S351" s="39"/>
    </row>
    <row r="352" customFormat="false" ht="15" hidden="false" customHeight="false" outlineLevel="0" collapsed="false">
      <c r="A352" s="38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40"/>
      <c r="P352" s="40"/>
      <c r="Q352" s="40"/>
      <c r="R352" s="39"/>
      <c r="S352" s="39"/>
    </row>
    <row r="353" customFormat="false" ht="15" hidden="false" customHeight="false" outlineLevel="0" collapsed="false">
      <c r="A353" s="38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40"/>
      <c r="P353" s="40"/>
      <c r="Q353" s="40"/>
      <c r="R353" s="39"/>
      <c r="S353" s="39"/>
    </row>
    <row r="354" customFormat="false" ht="15" hidden="false" customHeight="false" outlineLevel="0" collapsed="false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40"/>
      <c r="P354" s="40"/>
      <c r="Q354" s="40"/>
      <c r="R354" s="39"/>
      <c r="S354" s="39"/>
    </row>
    <row r="355" customFormat="false" ht="15" hidden="false" customHeight="false" outlineLevel="0" collapsed="false">
      <c r="A355" s="38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40"/>
      <c r="P355" s="40"/>
      <c r="Q355" s="40"/>
      <c r="R355" s="39"/>
      <c r="S355" s="39"/>
    </row>
    <row r="356" customFormat="false" ht="15" hidden="false" customHeight="false" outlineLevel="0" collapsed="false">
      <c r="A356" s="38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40"/>
      <c r="P356" s="40"/>
      <c r="Q356" s="40"/>
      <c r="R356" s="39"/>
      <c r="S356" s="39"/>
    </row>
    <row r="357" customFormat="false" ht="15" hidden="false" customHeight="false" outlineLevel="0" collapsed="false">
      <c r="A357" s="38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40"/>
      <c r="P357" s="40"/>
      <c r="Q357" s="40"/>
      <c r="R357" s="39"/>
      <c r="S357" s="39"/>
    </row>
    <row r="358" customFormat="false" ht="15" hidden="false" customHeight="false" outlineLevel="0" collapsed="false">
      <c r="A358" s="38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40"/>
      <c r="P358" s="40"/>
      <c r="Q358" s="40"/>
      <c r="R358" s="39"/>
      <c r="S358" s="39"/>
    </row>
    <row r="359" customFormat="false" ht="15" hidden="false" customHeight="false" outlineLevel="0" collapsed="false">
      <c r="A359" s="38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40"/>
      <c r="P359" s="40"/>
      <c r="Q359" s="40"/>
      <c r="R359" s="39"/>
      <c r="S359" s="39"/>
    </row>
    <row r="360" customFormat="false" ht="15" hidden="false" customHeight="false" outlineLevel="0" collapsed="false">
      <c r="A360" s="38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40"/>
      <c r="P360" s="40"/>
      <c r="Q360" s="40"/>
      <c r="R360" s="39"/>
      <c r="S360" s="39"/>
    </row>
    <row r="361" customFormat="false" ht="15" hidden="false" customHeight="false" outlineLevel="0" collapsed="false">
      <c r="A361" s="38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40"/>
      <c r="P361" s="40"/>
      <c r="Q361" s="40"/>
      <c r="R361" s="39"/>
      <c r="S361" s="39"/>
    </row>
    <row r="362" customFormat="false" ht="15" hidden="false" customHeight="false" outlineLevel="0" collapsed="false">
      <c r="A362" s="38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40"/>
      <c r="P362" s="40"/>
      <c r="Q362" s="40"/>
      <c r="R362" s="39"/>
      <c r="S362" s="39"/>
    </row>
    <row r="363" customFormat="false" ht="15" hidden="false" customHeight="false" outlineLevel="0" collapsed="false">
      <c r="A363" s="38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40"/>
      <c r="P363" s="40"/>
      <c r="Q363" s="40"/>
      <c r="R363" s="39"/>
      <c r="S363" s="39"/>
    </row>
    <row r="364" customFormat="false" ht="15" hidden="false" customHeight="false" outlineLevel="0" collapsed="false">
      <c r="A364" s="38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40"/>
      <c r="P364" s="40"/>
      <c r="Q364" s="40"/>
      <c r="R364" s="39"/>
      <c r="S364" s="39"/>
    </row>
    <row r="365" customFormat="false" ht="15" hidden="false" customHeight="false" outlineLevel="0" collapsed="false">
      <c r="A365" s="38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40"/>
      <c r="P365" s="40"/>
      <c r="Q365" s="40"/>
      <c r="R365" s="39"/>
      <c r="S365" s="39"/>
    </row>
    <row r="366" customFormat="false" ht="15" hidden="false" customHeight="false" outlineLevel="0" collapsed="false">
      <c r="A366" s="38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40"/>
      <c r="P366" s="40"/>
      <c r="Q366" s="40"/>
      <c r="R366" s="39"/>
      <c r="S366" s="39"/>
    </row>
    <row r="367" customFormat="false" ht="15" hidden="false" customHeight="false" outlineLevel="0" collapsed="false">
      <c r="A367" s="38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40"/>
      <c r="P367" s="40"/>
      <c r="Q367" s="40"/>
      <c r="R367" s="39"/>
      <c r="S367" s="39"/>
    </row>
    <row r="368" customFormat="false" ht="15" hidden="false" customHeight="false" outlineLevel="0" collapsed="false">
      <c r="A368" s="38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40"/>
      <c r="P368" s="40"/>
      <c r="Q368" s="40"/>
      <c r="R368" s="39"/>
      <c r="S368" s="39"/>
    </row>
    <row r="369" customFormat="false" ht="15" hidden="false" customHeight="false" outlineLevel="0" collapsed="false">
      <c r="A369" s="38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40"/>
      <c r="P369" s="40"/>
      <c r="Q369" s="40"/>
      <c r="R369" s="39"/>
      <c r="S369" s="39"/>
    </row>
    <row r="370" customFormat="false" ht="15" hidden="false" customHeight="false" outlineLevel="0" collapsed="false">
      <c r="A370" s="38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40"/>
      <c r="P370" s="40"/>
      <c r="Q370" s="40"/>
      <c r="R370" s="39"/>
      <c r="S370" s="39"/>
    </row>
    <row r="371" customFormat="false" ht="15" hidden="false" customHeight="false" outlineLevel="0" collapsed="false">
      <c r="A371" s="38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40"/>
      <c r="P371" s="40"/>
      <c r="Q371" s="40"/>
      <c r="R371" s="39"/>
      <c r="S371" s="39"/>
    </row>
    <row r="372" customFormat="false" ht="15" hidden="false" customHeight="false" outlineLevel="0" collapsed="false">
      <c r="A372" s="38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40"/>
      <c r="P372" s="40"/>
      <c r="Q372" s="40"/>
      <c r="R372" s="39"/>
      <c r="S372" s="39"/>
    </row>
    <row r="373" customFormat="false" ht="15" hidden="false" customHeight="false" outlineLevel="0" collapsed="false">
      <c r="A373" s="38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40"/>
      <c r="P373" s="40"/>
      <c r="Q373" s="40"/>
      <c r="R373" s="39"/>
      <c r="S373" s="39"/>
    </row>
    <row r="374" customFormat="false" ht="15" hidden="false" customHeight="false" outlineLevel="0" collapsed="false">
      <c r="A374" s="38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40"/>
      <c r="P374" s="40"/>
      <c r="Q374" s="40"/>
      <c r="R374" s="39"/>
      <c r="S374" s="39"/>
    </row>
    <row r="375" customFormat="false" ht="15" hidden="false" customHeight="false" outlineLevel="0" collapsed="false">
      <c r="A375" s="38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40"/>
      <c r="P375" s="40"/>
      <c r="Q375" s="40"/>
      <c r="R375" s="39"/>
      <c r="S375" s="39"/>
    </row>
    <row r="376" customFormat="false" ht="15" hidden="false" customHeight="false" outlineLevel="0" collapsed="false">
      <c r="A376" s="38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40"/>
      <c r="P376" s="40"/>
      <c r="Q376" s="40"/>
      <c r="R376" s="39"/>
      <c r="S376" s="39"/>
    </row>
    <row r="377" customFormat="false" ht="15" hidden="false" customHeight="false" outlineLevel="0" collapsed="false">
      <c r="A377" s="38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40"/>
      <c r="P377" s="40"/>
      <c r="Q377" s="40"/>
      <c r="R377" s="39"/>
      <c r="S377" s="39"/>
    </row>
    <row r="378" customFormat="false" ht="15" hidden="false" customHeight="false" outlineLevel="0" collapsed="false">
      <c r="A378" s="38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40"/>
      <c r="P378" s="40"/>
      <c r="Q378" s="40"/>
      <c r="R378" s="39"/>
      <c r="S378" s="39"/>
    </row>
    <row r="379" customFormat="false" ht="15" hidden="false" customHeight="false" outlineLevel="0" collapsed="false">
      <c r="A379" s="38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40"/>
      <c r="P379" s="40"/>
      <c r="Q379" s="40"/>
      <c r="R379" s="39"/>
      <c r="S379" s="39"/>
    </row>
    <row r="380" customFormat="false" ht="15" hidden="false" customHeight="false" outlineLevel="0" collapsed="false">
      <c r="A380" s="38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40"/>
      <c r="P380" s="40"/>
      <c r="Q380" s="40"/>
      <c r="R380" s="39"/>
      <c r="S380" s="39"/>
    </row>
    <row r="381" customFormat="false" ht="15" hidden="false" customHeight="false" outlineLevel="0" collapsed="false">
      <c r="A381" s="38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40"/>
      <c r="P381" s="40"/>
      <c r="Q381" s="40"/>
      <c r="R381" s="39"/>
      <c r="S381" s="39"/>
    </row>
    <row r="382" customFormat="false" ht="15" hidden="false" customHeight="false" outlineLevel="0" collapsed="false">
      <c r="A382" s="38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40"/>
      <c r="P382" s="40"/>
      <c r="Q382" s="40"/>
      <c r="R382" s="39"/>
      <c r="S382" s="39"/>
    </row>
    <row r="383" customFormat="false" ht="15" hidden="false" customHeight="false" outlineLevel="0" collapsed="false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40"/>
      <c r="P383" s="40"/>
      <c r="Q383" s="40"/>
      <c r="R383" s="39"/>
      <c r="S383" s="39"/>
    </row>
    <row r="384" customFormat="false" ht="15" hidden="false" customHeight="false" outlineLevel="0" collapsed="false">
      <c r="A384" s="38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40"/>
      <c r="P384" s="40"/>
      <c r="Q384" s="40"/>
      <c r="R384" s="39"/>
      <c r="S384" s="39"/>
    </row>
    <row r="385" customFormat="false" ht="15" hidden="false" customHeight="false" outlineLevel="0" collapsed="false">
      <c r="A385" s="38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40"/>
      <c r="P385" s="40"/>
      <c r="Q385" s="40"/>
      <c r="R385" s="39"/>
      <c r="S385" s="39"/>
    </row>
    <row r="386" customFormat="false" ht="15" hidden="false" customHeight="false" outlineLevel="0" collapsed="false">
      <c r="A386" s="38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40"/>
      <c r="P386" s="40"/>
      <c r="Q386" s="40"/>
      <c r="R386" s="39"/>
      <c r="S386" s="39"/>
    </row>
    <row r="387" customFormat="false" ht="15" hidden="false" customHeight="false" outlineLevel="0" collapsed="false">
      <c r="A387" s="38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40"/>
      <c r="P387" s="40"/>
      <c r="Q387" s="40"/>
      <c r="R387" s="39"/>
      <c r="S387" s="39"/>
    </row>
    <row r="388" customFormat="false" ht="15" hidden="false" customHeight="false" outlineLevel="0" collapsed="false">
      <c r="A388" s="38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40"/>
      <c r="P388" s="40"/>
      <c r="Q388" s="40"/>
      <c r="R388" s="39"/>
      <c r="S388" s="39"/>
    </row>
    <row r="389" customFormat="false" ht="15" hidden="false" customHeight="false" outlineLevel="0" collapsed="false">
      <c r="A389" s="38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40"/>
      <c r="P389" s="40"/>
      <c r="Q389" s="40"/>
      <c r="R389" s="39"/>
      <c r="S389" s="39"/>
    </row>
    <row r="390" customFormat="false" ht="15" hidden="false" customHeight="false" outlineLevel="0" collapsed="false">
      <c r="A390" s="38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40"/>
      <c r="P390" s="40"/>
      <c r="Q390" s="40"/>
      <c r="R390" s="39"/>
      <c r="S390" s="39"/>
    </row>
    <row r="391" customFormat="false" ht="15" hidden="false" customHeight="false" outlineLevel="0" collapsed="false">
      <c r="A391" s="38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40"/>
      <c r="P391" s="40"/>
      <c r="Q391" s="40"/>
      <c r="R391" s="39"/>
      <c r="S391" s="39"/>
    </row>
    <row r="392" customFormat="false" ht="15" hidden="false" customHeight="false" outlineLevel="0" collapsed="false">
      <c r="A392" s="38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40"/>
      <c r="P392" s="40"/>
      <c r="Q392" s="40"/>
      <c r="R392" s="39"/>
      <c r="S392" s="39"/>
    </row>
    <row r="393" customFormat="false" ht="15" hidden="false" customHeight="false" outlineLevel="0" collapsed="false">
      <c r="A393" s="38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40"/>
      <c r="P393" s="40"/>
      <c r="Q393" s="40"/>
      <c r="R393" s="39"/>
      <c r="S393" s="39"/>
    </row>
    <row r="394" customFormat="false" ht="15" hidden="false" customHeight="false" outlineLevel="0" collapsed="false">
      <c r="A394" s="38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40"/>
      <c r="P394" s="40"/>
      <c r="Q394" s="40"/>
      <c r="R394" s="39"/>
      <c r="S394" s="39"/>
    </row>
    <row r="395" customFormat="false" ht="15" hidden="false" customHeight="false" outlineLevel="0" collapsed="false">
      <c r="A395" s="38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40"/>
      <c r="P395" s="40"/>
      <c r="Q395" s="40"/>
      <c r="R395" s="39"/>
      <c r="S395" s="39"/>
    </row>
    <row r="396" customFormat="false" ht="15" hidden="false" customHeight="false" outlineLevel="0" collapsed="false">
      <c r="A396" s="38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40"/>
      <c r="P396" s="40"/>
      <c r="Q396" s="40"/>
      <c r="R396" s="39"/>
      <c r="S396" s="39"/>
    </row>
    <row r="397" customFormat="false" ht="15" hidden="false" customHeight="false" outlineLevel="0" collapsed="false">
      <c r="A397" s="38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40"/>
      <c r="P397" s="40"/>
      <c r="Q397" s="40"/>
      <c r="R397" s="39"/>
      <c r="S397" s="39"/>
    </row>
    <row r="398" customFormat="false" ht="15" hidden="false" customHeight="false" outlineLevel="0" collapsed="false">
      <c r="A398" s="38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40"/>
      <c r="P398" s="40"/>
      <c r="Q398" s="40"/>
      <c r="R398" s="39"/>
      <c r="S398" s="39"/>
    </row>
    <row r="399" customFormat="false" ht="15" hidden="false" customHeight="false" outlineLevel="0" collapsed="false">
      <c r="A399" s="38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40"/>
      <c r="P399" s="40"/>
      <c r="Q399" s="40"/>
      <c r="R399" s="39"/>
      <c r="S399" s="39"/>
    </row>
    <row r="400" customFormat="false" ht="15" hidden="false" customHeight="false" outlineLevel="0" collapsed="false">
      <c r="A400" s="38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40"/>
      <c r="P400" s="40"/>
      <c r="Q400" s="40"/>
      <c r="R400" s="39"/>
      <c r="S400" s="39"/>
    </row>
    <row r="401" customFormat="false" ht="15" hidden="false" customHeight="false" outlineLevel="0" collapsed="false">
      <c r="A401" s="38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40"/>
      <c r="P401" s="40"/>
      <c r="Q401" s="40"/>
      <c r="R401" s="39"/>
      <c r="S401" s="39"/>
    </row>
    <row r="402" customFormat="false" ht="15" hidden="false" customHeight="false" outlineLevel="0" collapsed="false">
      <c r="A402" s="38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40"/>
      <c r="P402" s="40"/>
      <c r="Q402" s="40"/>
      <c r="R402" s="39"/>
      <c r="S402" s="39"/>
    </row>
    <row r="403" customFormat="false" ht="15" hidden="false" customHeight="false" outlineLevel="0" collapsed="false">
      <c r="A403" s="38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40"/>
      <c r="P403" s="40"/>
      <c r="Q403" s="40"/>
      <c r="R403" s="39"/>
      <c r="S403" s="39"/>
    </row>
    <row r="404" customFormat="false" ht="15" hidden="false" customHeight="false" outlineLevel="0" collapsed="false">
      <c r="A404" s="38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40"/>
      <c r="P404" s="40"/>
      <c r="Q404" s="40"/>
      <c r="R404" s="39"/>
      <c r="S404" s="39"/>
    </row>
    <row r="405" customFormat="false" ht="15" hidden="false" customHeight="false" outlineLevel="0" collapsed="false">
      <c r="A405" s="38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40"/>
      <c r="P405" s="40"/>
      <c r="Q405" s="40"/>
      <c r="R405" s="39"/>
      <c r="S405" s="39"/>
    </row>
    <row r="406" customFormat="false" ht="15" hidden="false" customHeight="false" outlineLevel="0" collapsed="false">
      <c r="A406" s="38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40"/>
      <c r="P406" s="40"/>
      <c r="Q406" s="40"/>
      <c r="R406" s="39"/>
      <c r="S406" s="39"/>
    </row>
    <row r="407" customFormat="false" ht="15" hidden="false" customHeight="false" outlineLevel="0" collapsed="false">
      <c r="A407" s="38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40"/>
      <c r="P407" s="40"/>
      <c r="Q407" s="40"/>
      <c r="R407" s="39"/>
      <c r="S407" s="39"/>
    </row>
    <row r="408" customFormat="false" ht="15" hidden="false" customHeight="false" outlineLevel="0" collapsed="false">
      <c r="A408" s="38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40"/>
      <c r="P408" s="40"/>
      <c r="Q408" s="40"/>
      <c r="R408" s="39"/>
      <c r="S408" s="39"/>
    </row>
    <row r="409" customFormat="false" ht="15" hidden="false" customHeight="false" outlineLevel="0" collapsed="false">
      <c r="A409" s="38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40"/>
      <c r="P409" s="40"/>
      <c r="Q409" s="40"/>
      <c r="R409" s="39"/>
      <c r="S409" s="39"/>
    </row>
    <row r="410" customFormat="false" ht="15" hidden="false" customHeight="false" outlineLevel="0" collapsed="false">
      <c r="A410" s="38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40"/>
      <c r="P410" s="40"/>
      <c r="Q410" s="40"/>
      <c r="R410" s="39"/>
      <c r="S410" s="39"/>
    </row>
    <row r="411" customFormat="false" ht="15" hidden="false" customHeight="false" outlineLevel="0" collapsed="false">
      <c r="A411" s="38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40"/>
      <c r="P411" s="40"/>
      <c r="Q411" s="40"/>
      <c r="R411" s="39"/>
      <c r="S411" s="39"/>
    </row>
    <row r="412" customFormat="false" ht="15" hidden="false" customHeight="false" outlineLevel="0" collapsed="false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40"/>
      <c r="P412" s="40"/>
      <c r="Q412" s="40"/>
      <c r="R412" s="39"/>
      <c r="S412" s="39"/>
    </row>
    <row r="413" customFormat="false" ht="15" hidden="false" customHeight="false" outlineLevel="0" collapsed="false">
      <c r="A413" s="38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40"/>
      <c r="P413" s="40"/>
      <c r="Q413" s="40"/>
      <c r="R413" s="39"/>
      <c r="S413" s="39"/>
    </row>
    <row r="414" customFormat="false" ht="15" hidden="false" customHeight="false" outlineLevel="0" collapsed="false">
      <c r="A414" s="38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40"/>
      <c r="P414" s="40"/>
      <c r="Q414" s="40"/>
      <c r="R414" s="39"/>
      <c r="S414" s="39"/>
    </row>
    <row r="415" customFormat="false" ht="15" hidden="false" customHeight="false" outlineLevel="0" collapsed="false">
      <c r="A415" s="38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40"/>
      <c r="P415" s="40"/>
      <c r="Q415" s="40"/>
      <c r="R415" s="39"/>
      <c r="S415" s="39"/>
    </row>
    <row r="416" customFormat="false" ht="15" hidden="false" customHeight="false" outlineLevel="0" collapsed="false">
      <c r="A416" s="38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40"/>
      <c r="P416" s="40"/>
      <c r="Q416" s="40"/>
      <c r="R416" s="39"/>
      <c r="S416" s="39"/>
    </row>
    <row r="417" customFormat="false" ht="15" hidden="false" customHeight="false" outlineLevel="0" collapsed="false">
      <c r="A417" s="38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40"/>
      <c r="P417" s="40"/>
      <c r="Q417" s="40"/>
      <c r="R417" s="39"/>
      <c r="S417" s="39"/>
    </row>
    <row r="418" customFormat="false" ht="15" hidden="false" customHeight="false" outlineLevel="0" collapsed="false">
      <c r="A418" s="38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40"/>
      <c r="P418" s="40"/>
      <c r="Q418" s="40"/>
      <c r="R418" s="39"/>
      <c r="S418" s="39"/>
    </row>
    <row r="419" customFormat="false" ht="15" hidden="false" customHeight="false" outlineLevel="0" collapsed="false">
      <c r="A419" s="38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40"/>
      <c r="P419" s="40"/>
      <c r="Q419" s="40"/>
      <c r="R419" s="39"/>
      <c r="S419" s="39"/>
    </row>
    <row r="420" customFormat="false" ht="15" hidden="false" customHeight="false" outlineLevel="0" collapsed="false">
      <c r="A420" s="38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40"/>
      <c r="P420" s="40"/>
      <c r="Q420" s="40"/>
      <c r="R420" s="39"/>
      <c r="S420" s="39"/>
    </row>
    <row r="421" customFormat="false" ht="15" hidden="false" customHeight="false" outlineLevel="0" collapsed="false">
      <c r="A421" s="38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40"/>
      <c r="P421" s="40"/>
      <c r="Q421" s="40"/>
      <c r="R421" s="39"/>
      <c r="S421" s="39"/>
    </row>
    <row r="422" customFormat="false" ht="15" hidden="false" customHeight="false" outlineLevel="0" collapsed="false">
      <c r="A422" s="38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40"/>
      <c r="P422" s="40"/>
      <c r="Q422" s="40"/>
      <c r="R422" s="39"/>
      <c r="S422" s="39"/>
    </row>
    <row r="423" customFormat="false" ht="15" hidden="false" customHeight="false" outlineLevel="0" collapsed="false">
      <c r="A423" s="38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40"/>
      <c r="P423" s="40"/>
      <c r="Q423" s="40"/>
      <c r="R423" s="39"/>
      <c r="S423" s="39"/>
    </row>
    <row r="424" customFormat="false" ht="15" hidden="false" customHeight="false" outlineLevel="0" collapsed="false">
      <c r="A424" s="38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40"/>
      <c r="P424" s="40"/>
      <c r="Q424" s="40"/>
      <c r="R424" s="39"/>
      <c r="S424" s="39"/>
    </row>
    <row r="425" customFormat="false" ht="15" hidden="false" customHeight="false" outlineLevel="0" collapsed="false">
      <c r="A425" s="38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40"/>
      <c r="P425" s="40"/>
      <c r="Q425" s="40"/>
      <c r="R425" s="39"/>
      <c r="S425" s="39"/>
    </row>
    <row r="426" customFormat="false" ht="15" hidden="false" customHeight="false" outlineLevel="0" collapsed="false">
      <c r="A426" s="38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40"/>
      <c r="P426" s="40"/>
      <c r="Q426" s="40"/>
      <c r="R426" s="39"/>
      <c r="S426" s="39"/>
    </row>
    <row r="427" customFormat="false" ht="15" hidden="false" customHeight="false" outlineLevel="0" collapsed="false">
      <c r="A427" s="38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40"/>
      <c r="P427" s="40"/>
      <c r="Q427" s="40"/>
      <c r="R427" s="39"/>
      <c r="S427" s="39"/>
    </row>
    <row r="428" customFormat="false" ht="15" hidden="false" customHeight="false" outlineLevel="0" collapsed="false">
      <c r="A428" s="38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40"/>
      <c r="P428" s="40"/>
      <c r="Q428" s="40"/>
      <c r="R428" s="39"/>
      <c r="S428" s="39"/>
    </row>
    <row r="429" customFormat="false" ht="15" hidden="false" customHeight="false" outlineLevel="0" collapsed="false">
      <c r="A429" s="38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40"/>
      <c r="P429" s="40"/>
      <c r="Q429" s="40"/>
      <c r="R429" s="39"/>
      <c r="S429" s="39"/>
    </row>
    <row r="430" customFormat="false" ht="15" hidden="false" customHeight="false" outlineLevel="0" collapsed="false">
      <c r="A430" s="38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40"/>
      <c r="P430" s="40"/>
      <c r="Q430" s="40"/>
      <c r="R430" s="39"/>
      <c r="S430" s="39"/>
    </row>
    <row r="431" customFormat="false" ht="15" hidden="false" customHeight="false" outlineLevel="0" collapsed="false">
      <c r="A431" s="38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40"/>
      <c r="P431" s="40"/>
      <c r="Q431" s="40"/>
      <c r="R431" s="39"/>
      <c r="S431" s="39"/>
    </row>
    <row r="432" customFormat="false" ht="15" hidden="false" customHeight="false" outlineLevel="0" collapsed="false">
      <c r="A432" s="38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40"/>
      <c r="P432" s="40"/>
      <c r="Q432" s="40"/>
      <c r="R432" s="39"/>
      <c r="S432" s="39"/>
    </row>
    <row r="433" customFormat="false" ht="15" hidden="false" customHeight="false" outlineLevel="0" collapsed="false">
      <c r="A433" s="38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40"/>
      <c r="P433" s="40"/>
      <c r="Q433" s="40"/>
      <c r="R433" s="39"/>
      <c r="S433" s="39"/>
    </row>
    <row r="434" customFormat="false" ht="15" hidden="false" customHeight="false" outlineLevel="0" collapsed="false">
      <c r="A434" s="38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40"/>
      <c r="P434" s="40"/>
      <c r="Q434" s="40"/>
      <c r="R434" s="39"/>
      <c r="S434" s="39"/>
    </row>
    <row r="435" customFormat="false" ht="15" hidden="false" customHeight="false" outlineLevel="0" collapsed="false">
      <c r="A435" s="38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40"/>
      <c r="P435" s="40"/>
      <c r="Q435" s="40"/>
      <c r="R435" s="39"/>
      <c r="S435" s="39"/>
    </row>
    <row r="436" customFormat="false" ht="15" hidden="false" customHeight="false" outlineLevel="0" collapsed="false">
      <c r="A436" s="38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40"/>
      <c r="P436" s="40"/>
      <c r="Q436" s="40"/>
      <c r="R436" s="39"/>
      <c r="S436" s="39"/>
    </row>
    <row r="437" customFormat="false" ht="15" hidden="false" customHeight="false" outlineLevel="0" collapsed="false">
      <c r="A437" s="38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40"/>
      <c r="P437" s="40"/>
      <c r="Q437" s="40"/>
      <c r="R437" s="39"/>
      <c r="S437" s="39"/>
    </row>
    <row r="438" customFormat="false" ht="15" hidden="false" customHeight="false" outlineLevel="0" collapsed="false">
      <c r="A438" s="38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40"/>
      <c r="P438" s="40"/>
      <c r="Q438" s="40"/>
      <c r="R438" s="39"/>
      <c r="S438" s="39"/>
    </row>
    <row r="439" customFormat="false" ht="15" hidden="false" customHeight="false" outlineLevel="0" collapsed="false">
      <c r="A439" s="38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40"/>
      <c r="P439" s="40"/>
      <c r="Q439" s="40"/>
      <c r="R439" s="39"/>
      <c r="S439" s="39"/>
    </row>
    <row r="440" customFormat="false" ht="15" hidden="false" customHeight="false" outlineLevel="0" collapsed="false">
      <c r="A440" s="38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40"/>
      <c r="P440" s="40"/>
      <c r="Q440" s="40"/>
      <c r="R440" s="39"/>
      <c r="S440" s="39"/>
    </row>
    <row r="441" customFormat="false" ht="15" hidden="false" customHeight="false" outlineLevel="0" collapsed="false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40"/>
      <c r="P441" s="40"/>
      <c r="Q441" s="40"/>
      <c r="R441" s="39"/>
      <c r="S441" s="39"/>
    </row>
    <row r="442" customFormat="false" ht="15" hidden="false" customHeight="false" outlineLevel="0" collapsed="false">
      <c r="A442" s="38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40"/>
      <c r="P442" s="40"/>
      <c r="Q442" s="40"/>
      <c r="R442" s="39"/>
      <c r="S442" s="39"/>
    </row>
    <row r="443" customFormat="false" ht="15" hidden="false" customHeight="false" outlineLevel="0" collapsed="false">
      <c r="A443" s="38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40"/>
      <c r="P443" s="40"/>
      <c r="Q443" s="40"/>
      <c r="R443" s="39"/>
      <c r="S443" s="39"/>
    </row>
    <row r="444" customFormat="false" ht="15" hidden="false" customHeight="false" outlineLevel="0" collapsed="false">
      <c r="A444" s="38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40"/>
      <c r="P444" s="40"/>
      <c r="Q444" s="40"/>
      <c r="R444" s="39"/>
      <c r="S444" s="39"/>
    </row>
    <row r="445" customFormat="false" ht="15" hidden="false" customHeight="false" outlineLevel="0" collapsed="false">
      <c r="A445" s="38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40"/>
      <c r="P445" s="40"/>
      <c r="Q445" s="40"/>
      <c r="R445" s="39"/>
      <c r="S445" s="39"/>
    </row>
    <row r="446" customFormat="false" ht="15" hidden="false" customHeight="false" outlineLevel="0" collapsed="false">
      <c r="A446" s="38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40"/>
      <c r="P446" s="40"/>
      <c r="Q446" s="40"/>
      <c r="R446" s="39"/>
      <c r="S446" s="39"/>
    </row>
    <row r="447" customFormat="false" ht="15" hidden="false" customHeight="false" outlineLevel="0" collapsed="false">
      <c r="A447" s="38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40"/>
      <c r="P447" s="40"/>
      <c r="Q447" s="40"/>
      <c r="R447" s="39"/>
      <c r="S447" s="39"/>
    </row>
    <row r="448" customFormat="false" ht="15" hidden="false" customHeight="false" outlineLevel="0" collapsed="false">
      <c r="A448" s="38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40"/>
      <c r="P448" s="40"/>
      <c r="Q448" s="40"/>
      <c r="R448" s="39"/>
      <c r="S448" s="39"/>
    </row>
    <row r="449" customFormat="false" ht="15" hidden="false" customHeight="false" outlineLevel="0" collapsed="false">
      <c r="A449" s="38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40"/>
      <c r="P449" s="40"/>
      <c r="Q449" s="40"/>
      <c r="R449" s="39"/>
      <c r="S449" s="39"/>
    </row>
    <row r="450" customFormat="false" ht="15" hidden="false" customHeight="false" outlineLevel="0" collapsed="false">
      <c r="A450" s="38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40"/>
      <c r="P450" s="40"/>
      <c r="Q450" s="40"/>
      <c r="R450" s="39"/>
      <c r="S450" s="39"/>
    </row>
    <row r="451" customFormat="false" ht="15" hidden="false" customHeight="false" outlineLevel="0" collapsed="false">
      <c r="A451" s="38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40"/>
      <c r="P451" s="40"/>
      <c r="Q451" s="40"/>
      <c r="R451" s="39"/>
      <c r="S451" s="39"/>
    </row>
    <row r="452" customFormat="false" ht="15" hidden="false" customHeight="false" outlineLevel="0" collapsed="false">
      <c r="A452" s="38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40"/>
      <c r="P452" s="40"/>
      <c r="Q452" s="40"/>
      <c r="R452" s="39"/>
      <c r="S452" s="39"/>
    </row>
    <row r="453" customFormat="false" ht="15" hidden="false" customHeight="false" outlineLevel="0" collapsed="false">
      <c r="A453" s="38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40"/>
      <c r="P453" s="40"/>
      <c r="Q453" s="40"/>
      <c r="R453" s="39"/>
      <c r="S453" s="39"/>
    </row>
    <row r="454" customFormat="false" ht="15" hidden="false" customHeight="false" outlineLevel="0" collapsed="false">
      <c r="A454" s="38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40"/>
      <c r="P454" s="40"/>
      <c r="Q454" s="40"/>
      <c r="R454" s="39"/>
      <c r="S454" s="39"/>
    </row>
    <row r="455" customFormat="false" ht="15" hidden="false" customHeight="false" outlineLevel="0" collapsed="false">
      <c r="A455" s="38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40"/>
      <c r="P455" s="40"/>
      <c r="Q455" s="40"/>
      <c r="R455" s="39"/>
      <c r="S455" s="39"/>
    </row>
    <row r="456" customFormat="false" ht="15" hidden="false" customHeight="false" outlineLevel="0" collapsed="false">
      <c r="A456" s="38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40"/>
      <c r="P456" s="40"/>
      <c r="Q456" s="40"/>
      <c r="R456" s="39"/>
      <c r="S456" s="39"/>
    </row>
    <row r="457" customFormat="false" ht="15" hidden="false" customHeight="false" outlineLevel="0" collapsed="false">
      <c r="A457" s="38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40"/>
      <c r="P457" s="40"/>
      <c r="Q457" s="40"/>
      <c r="R457" s="39"/>
      <c r="S457" s="39"/>
    </row>
    <row r="458" customFormat="false" ht="15" hidden="false" customHeight="false" outlineLevel="0" collapsed="false">
      <c r="A458" s="38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40"/>
      <c r="P458" s="40"/>
      <c r="Q458" s="40"/>
      <c r="R458" s="39"/>
      <c r="S458" s="39"/>
    </row>
    <row r="459" customFormat="false" ht="15" hidden="false" customHeight="false" outlineLevel="0" collapsed="false">
      <c r="A459" s="38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40"/>
      <c r="P459" s="40"/>
      <c r="Q459" s="40"/>
      <c r="R459" s="39"/>
      <c r="S459" s="39"/>
    </row>
    <row r="460" customFormat="false" ht="15" hidden="false" customHeight="false" outlineLevel="0" collapsed="false">
      <c r="A460" s="38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40"/>
      <c r="P460" s="40"/>
      <c r="Q460" s="40"/>
      <c r="R460" s="39"/>
      <c r="S460" s="39"/>
    </row>
    <row r="461" customFormat="false" ht="15" hidden="false" customHeight="false" outlineLevel="0" collapsed="false">
      <c r="A461" s="38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40"/>
      <c r="P461" s="40"/>
      <c r="Q461" s="40"/>
      <c r="R461" s="39"/>
      <c r="S461" s="39"/>
    </row>
    <row r="462" customFormat="false" ht="15" hidden="false" customHeight="false" outlineLevel="0" collapsed="false">
      <c r="A462" s="38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40"/>
      <c r="P462" s="40"/>
      <c r="Q462" s="40"/>
      <c r="R462" s="39"/>
      <c r="S462" s="39"/>
    </row>
    <row r="463" customFormat="false" ht="15" hidden="false" customHeight="false" outlineLevel="0" collapsed="false">
      <c r="A463" s="38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40"/>
      <c r="P463" s="40"/>
      <c r="Q463" s="40"/>
      <c r="R463" s="39"/>
      <c r="S463" s="39"/>
    </row>
    <row r="464" customFormat="false" ht="15" hidden="false" customHeight="false" outlineLevel="0" collapsed="false">
      <c r="A464" s="38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40"/>
      <c r="P464" s="40"/>
      <c r="Q464" s="40"/>
      <c r="R464" s="39"/>
      <c r="S464" s="39"/>
    </row>
    <row r="465" customFormat="false" ht="15" hidden="false" customHeight="false" outlineLevel="0" collapsed="false">
      <c r="A465" s="38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40"/>
      <c r="P465" s="40"/>
      <c r="Q465" s="40"/>
      <c r="R465" s="39"/>
      <c r="S465" s="39"/>
    </row>
    <row r="466" customFormat="false" ht="15" hidden="false" customHeight="false" outlineLevel="0" collapsed="false">
      <c r="A466" s="38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40"/>
      <c r="P466" s="40"/>
      <c r="Q466" s="40"/>
      <c r="R466" s="39"/>
      <c r="S466" s="39"/>
    </row>
    <row r="467" customFormat="false" ht="15" hidden="false" customHeight="false" outlineLevel="0" collapsed="false">
      <c r="A467" s="38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40"/>
      <c r="P467" s="40"/>
      <c r="Q467" s="40"/>
      <c r="R467" s="39"/>
      <c r="S467" s="39"/>
    </row>
    <row r="468" customFormat="false" ht="15" hidden="false" customHeight="false" outlineLevel="0" collapsed="false">
      <c r="A468" s="38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40"/>
      <c r="P468" s="40"/>
      <c r="Q468" s="40"/>
      <c r="R468" s="39"/>
      <c r="S468" s="39"/>
    </row>
    <row r="469" customFormat="false" ht="15" hidden="false" customHeight="false" outlineLevel="0" collapsed="false">
      <c r="A469" s="38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40"/>
      <c r="P469" s="40"/>
      <c r="Q469" s="40"/>
      <c r="R469" s="39"/>
      <c r="S469" s="39"/>
    </row>
    <row r="470" customFormat="false" ht="15" hidden="false" customHeight="false" outlineLevel="0" collapsed="false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40"/>
      <c r="P470" s="40"/>
      <c r="Q470" s="40"/>
      <c r="R470" s="39"/>
      <c r="S470" s="39"/>
    </row>
    <row r="471" customFormat="false" ht="15" hidden="false" customHeight="false" outlineLevel="0" collapsed="false">
      <c r="A471" s="38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40"/>
      <c r="P471" s="40"/>
      <c r="Q471" s="40"/>
      <c r="R471" s="39"/>
      <c r="S471" s="39"/>
    </row>
    <row r="472" customFormat="false" ht="15" hidden="false" customHeight="false" outlineLevel="0" collapsed="false">
      <c r="A472" s="38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40"/>
      <c r="P472" s="40"/>
      <c r="Q472" s="40"/>
      <c r="R472" s="39"/>
      <c r="S472" s="39"/>
    </row>
    <row r="473" customFormat="false" ht="15" hidden="false" customHeight="false" outlineLevel="0" collapsed="false">
      <c r="A473" s="38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40"/>
      <c r="P473" s="40"/>
      <c r="Q473" s="40"/>
      <c r="R473" s="39"/>
      <c r="S473" s="39"/>
    </row>
    <row r="474" customFormat="false" ht="15" hidden="false" customHeight="false" outlineLevel="0" collapsed="false">
      <c r="A474" s="38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40"/>
      <c r="P474" s="40"/>
      <c r="Q474" s="40"/>
      <c r="R474" s="39"/>
      <c r="S474" s="39"/>
    </row>
    <row r="475" customFormat="false" ht="15" hidden="false" customHeight="false" outlineLevel="0" collapsed="false">
      <c r="A475" s="38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40"/>
      <c r="P475" s="40"/>
      <c r="Q475" s="40"/>
      <c r="R475" s="39"/>
      <c r="S475" s="39"/>
    </row>
    <row r="476" customFormat="false" ht="15" hidden="false" customHeight="false" outlineLevel="0" collapsed="false">
      <c r="A476" s="38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40"/>
      <c r="P476" s="40"/>
      <c r="Q476" s="40"/>
      <c r="R476" s="39"/>
      <c r="S476" s="39"/>
    </row>
    <row r="477" customFormat="false" ht="15" hidden="false" customHeight="false" outlineLevel="0" collapsed="false">
      <c r="A477" s="38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40"/>
      <c r="P477" s="40"/>
      <c r="Q477" s="40"/>
      <c r="R477" s="39"/>
      <c r="S477" s="39"/>
    </row>
    <row r="478" customFormat="false" ht="15" hidden="false" customHeight="false" outlineLevel="0" collapsed="false">
      <c r="A478" s="38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40"/>
      <c r="P478" s="40"/>
      <c r="Q478" s="40"/>
      <c r="R478" s="39"/>
      <c r="S478" s="39"/>
    </row>
    <row r="479" customFormat="false" ht="15" hidden="false" customHeight="false" outlineLevel="0" collapsed="false">
      <c r="A479" s="38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40"/>
      <c r="P479" s="40"/>
      <c r="Q479" s="40"/>
      <c r="R479" s="39"/>
      <c r="S479" s="39"/>
    </row>
    <row r="480" customFormat="false" ht="15" hidden="false" customHeight="false" outlineLevel="0" collapsed="false">
      <c r="A480" s="38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40"/>
      <c r="P480" s="40"/>
      <c r="Q480" s="40"/>
      <c r="R480" s="39"/>
      <c r="S480" s="39"/>
    </row>
    <row r="481" customFormat="false" ht="15" hidden="false" customHeight="false" outlineLevel="0" collapsed="false">
      <c r="A481" s="38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40"/>
      <c r="P481" s="40"/>
      <c r="Q481" s="40"/>
      <c r="R481" s="39"/>
      <c r="S481" s="39"/>
    </row>
    <row r="482" customFormat="false" ht="15" hidden="false" customHeight="false" outlineLevel="0" collapsed="false">
      <c r="A482" s="38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40"/>
      <c r="P482" s="40"/>
      <c r="Q482" s="40"/>
      <c r="R482" s="39"/>
      <c r="S482" s="39"/>
    </row>
    <row r="483" customFormat="false" ht="15" hidden="false" customHeight="false" outlineLevel="0" collapsed="false">
      <c r="A483" s="38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40"/>
      <c r="P483" s="40"/>
      <c r="Q483" s="40"/>
      <c r="R483" s="39"/>
      <c r="S483" s="39"/>
    </row>
    <row r="484" customFormat="false" ht="15" hidden="false" customHeight="false" outlineLevel="0" collapsed="false">
      <c r="A484" s="38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40"/>
      <c r="P484" s="40"/>
      <c r="Q484" s="40"/>
      <c r="R484" s="39"/>
      <c r="S484" s="39"/>
    </row>
    <row r="485" customFormat="false" ht="15" hidden="false" customHeight="false" outlineLevel="0" collapsed="false">
      <c r="A485" s="38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40"/>
      <c r="P485" s="40"/>
      <c r="Q485" s="40"/>
      <c r="R485" s="39"/>
      <c r="S485" s="39"/>
    </row>
    <row r="486" customFormat="false" ht="15" hidden="false" customHeight="false" outlineLevel="0" collapsed="false">
      <c r="A486" s="38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40"/>
      <c r="P486" s="40"/>
      <c r="Q486" s="40"/>
      <c r="R486" s="39"/>
      <c r="S486" s="39"/>
    </row>
    <row r="487" customFormat="false" ht="15" hidden="false" customHeight="false" outlineLevel="0" collapsed="false">
      <c r="A487" s="38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40"/>
      <c r="P487" s="40"/>
      <c r="Q487" s="40"/>
      <c r="R487" s="39"/>
      <c r="S487" s="39"/>
    </row>
    <row r="488" customFormat="false" ht="15" hidden="false" customHeight="false" outlineLevel="0" collapsed="false">
      <c r="A488" s="38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40"/>
      <c r="P488" s="40"/>
      <c r="Q488" s="40"/>
      <c r="R488" s="39"/>
      <c r="S488" s="39"/>
    </row>
    <row r="489" customFormat="false" ht="15" hidden="false" customHeight="false" outlineLevel="0" collapsed="false">
      <c r="A489" s="38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40"/>
      <c r="P489" s="40"/>
      <c r="Q489" s="40"/>
      <c r="R489" s="39"/>
      <c r="S489" s="39"/>
    </row>
    <row r="490" customFormat="false" ht="15" hidden="false" customHeight="false" outlineLevel="0" collapsed="false">
      <c r="A490" s="38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40"/>
      <c r="P490" s="40"/>
      <c r="Q490" s="40"/>
      <c r="R490" s="39"/>
      <c r="S490" s="39"/>
    </row>
    <row r="491" customFormat="false" ht="15" hidden="false" customHeight="false" outlineLevel="0" collapsed="false">
      <c r="A491" s="38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40"/>
      <c r="P491" s="40"/>
      <c r="Q491" s="40"/>
      <c r="R491" s="39"/>
      <c r="S491" s="39"/>
    </row>
    <row r="492" customFormat="false" ht="15" hidden="false" customHeight="false" outlineLevel="0" collapsed="false">
      <c r="A492" s="38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40"/>
      <c r="P492" s="40"/>
      <c r="Q492" s="40"/>
      <c r="R492" s="39"/>
      <c r="S492" s="39"/>
    </row>
    <row r="493" customFormat="false" ht="15" hidden="false" customHeight="false" outlineLevel="0" collapsed="false">
      <c r="A493" s="38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40"/>
      <c r="P493" s="40"/>
      <c r="Q493" s="40"/>
      <c r="R493" s="39"/>
      <c r="S493" s="39"/>
    </row>
    <row r="494" customFormat="false" ht="15" hidden="false" customHeight="false" outlineLevel="0" collapsed="false">
      <c r="A494" s="38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40"/>
      <c r="P494" s="40"/>
      <c r="Q494" s="40"/>
      <c r="R494" s="39"/>
      <c r="S494" s="39"/>
    </row>
    <row r="495" customFormat="false" ht="15" hidden="false" customHeight="false" outlineLevel="0" collapsed="false">
      <c r="A495" s="38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40"/>
      <c r="P495" s="40"/>
      <c r="Q495" s="40"/>
      <c r="R495" s="39"/>
      <c r="S495" s="39"/>
    </row>
    <row r="496" customFormat="false" ht="15" hidden="false" customHeight="false" outlineLevel="0" collapsed="false">
      <c r="A496" s="38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40"/>
      <c r="P496" s="40"/>
      <c r="Q496" s="40"/>
      <c r="R496" s="39"/>
      <c r="S496" s="39"/>
    </row>
    <row r="497" customFormat="false" ht="15" hidden="false" customHeight="false" outlineLevel="0" collapsed="false">
      <c r="A497" s="38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40"/>
      <c r="P497" s="40"/>
      <c r="Q497" s="40"/>
      <c r="R497" s="39"/>
      <c r="S497" s="39"/>
    </row>
    <row r="498" customFormat="false" ht="15" hidden="false" customHeight="false" outlineLevel="0" collapsed="false">
      <c r="A498" s="38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40"/>
      <c r="P498" s="40"/>
      <c r="Q498" s="40"/>
      <c r="R498" s="39"/>
      <c r="S498" s="39"/>
    </row>
    <row r="499" customFormat="false" ht="15" hidden="false" customHeight="false" outlineLevel="0" collapsed="false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40"/>
      <c r="P499" s="40"/>
      <c r="Q499" s="40"/>
      <c r="R499" s="39"/>
      <c r="S499" s="39"/>
    </row>
    <row r="500" customFormat="false" ht="15" hidden="false" customHeight="false" outlineLevel="0" collapsed="false">
      <c r="A500" s="38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40"/>
      <c r="P500" s="40"/>
      <c r="Q500" s="40"/>
      <c r="R500" s="39"/>
      <c r="S500" s="39"/>
    </row>
    <row r="501" customFormat="false" ht="15" hidden="false" customHeight="false" outlineLevel="0" collapsed="false">
      <c r="A501" s="38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40"/>
      <c r="P501" s="40"/>
      <c r="Q501" s="40"/>
      <c r="R501" s="39"/>
      <c r="S501" s="39"/>
    </row>
    <row r="502" customFormat="false" ht="15" hidden="false" customHeight="false" outlineLevel="0" collapsed="false">
      <c r="A502" s="38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40"/>
      <c r="P502" s="40"/>
      <c r="Q502" s="40"/>
      <c r="R502" s="39"/>
      <c r="S502" s="39"/>
    </row>
    <row r="503" customFormat="false" ht="15" hidden="false" customHeight="false" outlineLevel="0" collapsed="false">
      <c r="A503" s="38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40"/>
      <c r="P503" s="40"/>
      <c r="Q503" s="40"/>
      <c r="R503" s="39"/>
      <c r="S503" s="39"/>
    </row>
    <row r="504" customFormat="false" ht="15" hidden="false" customHeight="false" outlineLevel="0" collapsed="false">
      <c r="A504" s="38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40"/>
      <c r="P504" s="40"/>
      <c r="Q504" s="40"/>
      <c r="R504" s="39"/>
      <c r="S504" s="39"/>
    </row>
    <row r="505" customFormat="false" ht="15" hidden="false" customHeight="false" outlineLevel="0" collapsed="false">
      <c r="A505" s="38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40"/>
      <c r="P505" s="40"/>
      <c r="Q505" s="40"/>
      <c r="R505" s="39"/>
      <c r="S505" s="39"/>
    </row>
    <row r="506" customFormat="false" ht="15" hidden="false" customHeight="false" outlineLevel="0" collapsed="false">
      <c r="A506" s="38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40"/>
      <c r="P506" s="40"/>
      <c r="Q506" s="40"/>
      <c r="R506" s="39"/>
      <c r="S506" s="39"/>
    </row>
    <row r="507" customFormat="false" ht="15" hidden="false" customHeight="false" outlineLevel="0" collapsed="false">
      <c r="A507" s="38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40"/>
      <c r="P507" s="40"/>
      <c r="Q507" s="40"/>
      <c r="R507" s="39"/>
      <c r="S507" s="39"/>
    </row>
    <row r="508" customFormat="false" ht="15" hidden="false" customHeight="false" outlineLevel="0" collapsed="false">
      <c r="A508" s="38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40"/>
      <c r="P508" s="40"/>
      <c r="Q508" s="40"/>
      <c r="R508" s="39"/>
      <c r="S508" s="39"/>
    </row>
    <row r="509" customFormat="false" ht="15" hidden="false" customHeight="false" outlineLevel="0" collapsed="false">
      <c r="A509" s="38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40"/>
      <c r="P509" s="40"/>
      <c r="Q509" s="40"/>
      <c r="R509" s="39"/>
      <c r="S509" s="39"/>
    </row>
    <row r="510" customFormat="false" ht="15" hidden="false" customHeight="false" outlineLevel="0" collapsed="false">
      <c r="A510" s="38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40"/>
      <c r="P510" s="40"/>
      <c r="Q510" s="40"/>
      <c r="R510" s="39"/>
      <c r="S510" s="39"/>
    </row>
    <row r="511" customFormat="false" ht="15" hidden="false" customHeight="false" outlineLevel="0" collapsed="false">
      <c r="A511" s="38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40"/>
      <c r="P511" s="40"/>
      <c r="Q511" s="40"/>
      <c r="R511" s="39"/>
      <c r="S511" s="39"/>
    </row>
    <row r="512" customFormat="false" ht="15" hidden="false" customHeight="false" outlineLevel="0" collapsed="false">
      <c r="A512" s="38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40"/>
      <c r="P512" s="40"/>
      <c r="Q512" s="40"/>
      <c r="R512" s="39"/>
      <c r="S512" s="39"/>
    </row>
    <row r="513" customFormat="false" ht="15" hidden="false" customHeight="false" outlineLevel="0" collapsed="false">
      <c r="A513" s="38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40"/>
      <c r="P513" s="40"/>
      <c r="Q513" s="40"/>
      <c r="R513" s="39"/>
      <c r="S513" s="39"/>
    </row>
    <row r="514" customFormat="false" ht="15" hidden="false" customHeight="false" outlineLevel="0" collapsed="false">
      <c r="A514" s="38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40"/>
      <c r="P514" s="40"/>
      <c r="Q514" s="40"/>
      <c r="R514" s="39"/>
      <c r="S514" s="39"/>
    </row>
    <row r="515" customFormat="false" ht="15" hidden="false" customHeight="false" outlineLevel="0" collapsed="false">
      <c r="A515" s="38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40"/>
      <c r="P515" s="40"/>
      <c r="Q515" s="40"/>
      <c r="R515" s="39"/>
      <c r="S515" s="39"/>
    </row>
    <row r="516" customFormat="false" ht="15" hidden="false" customHeight="false" outlineLevel="0" collapsed="false">
      <c r="A516" s="38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40"/>
      <c r="P516" s="40"/>
      <c r="Q516" s="40"/>
      <c r="R516" s="39"/>
      <c r="S516" s="39"/>
    </row>
    <row r="517" customFormat="false" ht="15" hidden="false" customHeight="false" outlineLevel="0" collapsed="false">
      <c r="A517" s="38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40"/>
      <c r="P517" s="40"/>
      <c r="Q517" s="40"/>
      <c r="R517" s="39"/>
      <c r="S517" s="39"/>
    </row>
    <row r="518" customFormat="false" ht="15" hidden="false" customHeight="false" outlineLevel="0" collapsed="false">
      <c r="A518" s="38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40"/>
      <c r="P518" s="40"/>
      <c r="Q518" s="40"/>
      <c r="R518" s="39"/>
      <c r="S518" s="39"/>
    </row>
    <row r="519" customFormat="false" ht="15" hidden="false" customHeight="false" outlineLevel="0" collapsed="false">
      <c r="A519" s="38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40"/>
      <c r="P519" s="40"/>
      <c r="Q519" s="40"/>
      <c r="R519" s="39"/>
      <c r="S519" s="39"/>
    </row>
    <row r="520" customFormat="false" ht="15" hidden="false" customHeight="false" outlineLevel="0" collapsed="false">
      <c r="A520" s="38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40"/>
      <c r="P520" s="40"/>
      <c r="Q520" s="40"/>
      <c r="R520" s="39"/>
      <c r="S520" s="39"/>
    </row>
    <row r="521" customFormat="false" ht="15" hidden="false" customHeight="false" outlineLevel="0" collapsed="false">
      <c r="A521" s="38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40"/>
      <c r="P521" s="40"/>
      <c r="Q521" s="40"/>
      <c r="R521" s="39"/>
      <c r="S521" s="39"/>
    </row>
    <row r="522" customFormat="false" ht="15" hidden="false" customHeight="false" outlineLevel="0" collapsed="false">
      <c r="A522" s="38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40"/>
      <c r="P522" s="40"/>
      <c r="Q522" s="40"/>
      <c r="R522" s="39"/>
      <c r="S522" s="39"/>
    </row>
    <row r="523" customFormat="false" ht="15" hidden="false" customHeight="false" outlineLevel="0" collapsed="false">
      <c r="A523" s="38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40"/>
      <c r="P523" s="40"/>
      <c r="Q523" s="40"/>
      <c r="R523" s="39"/>
      <c r="S523" s="39"/>
    </row>
    <row r="524" customFormat="false" ht="15" hidden="false" customHeight="false" outlineLevel="0" collapsed="false">
      <c r="A524" s="38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40"/>
      <c r="P524" s="40"/>
      <c r="Q524" s="40"/>
      <c r="R524" s="39"/>
      <c r="S524" s="39"/>
    </row>
    <row r="525" customFormat="false" ht="15" hidden="false" customHeight="false" outlineLevel="0" collapsed="false">
      <c r="A525" s="38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40"/>
      <c r="P525" s="40"/>
      <c r="Q525" s="40"/>
      <c r="R525" s="39"/>
      <c r="S525" s="39"/>
    </row>
    <row r="526" customFormat="false" ht="15" hidden="false" customHeight="false" outlineLevel="0" collapsed="false">
      <c r="A526" s="38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40"/>
      <c r="P526" s="40"/>
      <c r="Q526" s="40"/>
      <c r="R526" s="39"/>
      <c r="S526" s="39"/>
    </row>
    <row r="527" customFormat="false" ht="15" hidden="false" customHeight="false" outlineLevel="0" collapsed="false">
      <c r="A527" s="38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40"/>
      <c r="P527" s="40"/>
      <c r="Q527" s="40"/>
      <c r="R527" s="39"/>
      <c r="S527" s="39"/>
    </row>
    <row r="528" customFormat="false" ht="15" hidden="false" customHeight="false" outlineLevel="0" collapsed="false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40"/>
      <c r="P528" s="40"/>
      <c r="Q528" s="40"/>
      <c r="R528" s="39"/>
      <c r="S528" s="39"/>
    </row>
    <row r="529" customFormat="false" ht="15" hidden="false" customHeight="false" outlineLevel="0" collapsed="false">
      <c r="A529" s="38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40"/>
      <c r="P529" s="40"/>
      <c r="Q529" s="40"/>
      <c r="R529" s="39"/>
      <c r="S529" s="39"/>
    </row>
    <row r="530" customFormat="false" ht="15" hidden="false" customHeight="false" outlineLevel="0" collapsed="false">
      <c r="A530" s="38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40"/>
      <c r="P530" s="40"/>
      <c r="Q530" s="40"/>
      <c r="R530" s="39"/>
      <c r="S530" s="39"/>
    </row>
    <row r="531" customFormat="false" ht="15" hidden="false" customHeight="false" outlineLevel="0" collapsed="false">
      <c r="A531" s="38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40"/>
      <c r="P531" s="40"/>
      <c r="Q531" s="40"/>
      <c r="R531" s="39"/>
      <c r="S531" s="39"/>
    </row>
    <row r="532" customFormat="false" ht="15" hidden="false" customHeight="false" outlineLevel="0" collapsed="false">
      <c r="A532" s="38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40"/>
      <c r="P532" s="40"/>
      <c r="Q532" s="40"/>
      <c r="R532" s="39"/>
      <c r="S532" s="39"/>
    </row>
    <row r="533" customFormat="false" ht="15" hidden="false" customHeight="false" outlineLevel="0" collapsed="false">
      <c r="A533" s="38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40"/>
      <c r="P533" s="40"/>
      <c r="Q533" s="40"/>
      <c r="R533" s="39"/>
      <c r="S533" s="39"/>
    </row>
    <row r="534" customFormat="false" ht="15" hidden="false" customHeight="false" outlineLevel="0" collapsed="false">
      <c r="A534" s="38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40"/>
      <c r="P534" s="40"/>
      <c r="Q534" s="40"/>
      <c r="R534" s="39"/>
      <c r="S534" s="39"/>
    </row>
    <row r="535" customFormat="false" ht="15" hidden="false" customHeight="false" outlineLevel="0" collapsed="false">
      <c r="A535" s="38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40"/>
      <c r="P535" s="40"/>
      <c r="Q535" s="40"/>
      <c r="R535" s="39"/>
      <c r="S535" s="39"/>
    </row>
    <row r="536" customFormat="false" ht="15" hidden="false" customHeight="false" outlineLevel="0" collapsed="false">
      <c r="A536" s="38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40"/>
      <c r="P536" s="40"/>
      <c r="Q536" s="40"/>
      <c r="R536" s="39"/>
      <c r="S536" s="39"/>
    </row>
    <row r="537" customFormat="false" ht="15" hidden="false" customHeight="false" outlineLevel="0" collapsed="false">
      <c r="A537" s="38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40"/>
      <c r="P537" s="40"/>
      <c r="Q537" s="40"/>
      <c r="R537" s="39"/>
      <c r="S537" s="39"/>
    </row>
    <row r="538" customFormat="false" ht="15" hidden="false" customHeight="false" outlineLevel="0" collapsed="false">
      <c r="A538" s="38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40"/>
      <c r="P538" s="40"/>
      <c r="Q538" s="40"/>
      <c r="R538" s="39"/>
      <c r="S538" s="39"/>
    </row>
    <row r="539" customFormat="false" ht="15" hidden="false" customHeight="false" outlineLevel="0" collapsed="false">
      <c r="A539" s="38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40"/>
      <c r="P539" s="40"/>
      <c r="Q539" s="40"/>
      <c r="R539" s="39"/>
      <c r="S539" s="39"/>
    </row>
    <row r="540" customFormat="false" ht="15" hidden="false" customHeight="false" outlineLevel="0" collapsed="false">
      <c r="A540" s="38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40"/>
      <c r="P540" s="40"/>
      <c r="Q540" s="40"/>
      <c r="R540" s="39"/>
      <c r="S540" s="39"/>
    </row>
    <row r="541" customFormat="false" ht="15" hidden="false" customHeight="false" outlineLevel="0" collapsed="false">
      <c r="A541" s="38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40"/>
      <c r="P541" s="40"/>
      <c r="Q541" s="40"/>
      <c r="R541" s="39"/>
      <c r="S541" s="39"/>
    </row>
    <row r="542" customFormat="false" ht="15" hidden="false" customHeight="false" outlineLevel="0" collapsed="false">
      <c r="A542" s="38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40"/>
      <c r="P542" s="40"/>
      <c r="Q542" s="40"/>
      <c r="R542" s="39"/>
      <c r="S542" s="39"/>
    </row>
    <row r="543" customFormat="false" ht="15" hidden="false" customHeight="false" outlineLevel="0" collapsed="false">
      <c r="A543" s="38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40"/>
      <c r="P543" s="40"/>
      <c r="Q543" s="40"/>
      <c r="R543" s="39"/>
      <c r="S543" s="39"/>
    </row>
    <row r="544" customFormat="false" ht="15" hidden="false" customHeight="false" outlineLevel="0" collapsed="false">
      <c r="A544" s="38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40"/>
      <c r="P544" s="40"/>
      <c r="Q544" s="40"/>
      <c r="R544" s="39"/>
      <c r="S544" s="39"/>
    </row>
    <row r="545" customFormat="false" ht="15" hidden="false" customHeight="false" outlineLevel="0" collapsed="false">
      <c r="A545" s="38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40"/>
      <c r="P545" s="40"/>
      <c r="Q545" s="40"/>
      <c r="R545" s="39"/>
      <c r="S545" s="39"/>
    </row>
    <row r="546" customFormat="false" ht="15" hidden="false" customHeight="false" outlineLevel="0" collapsed="false">
      <c r="A546" s="38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40"/>
      <c r="P546" s="40"/>
      <c r="Q546" s="40"/>
      <c r="R546" s="39"/>
      <c r="S546" s="39"/>
    </row>
    <row r="547" customFormat="false" ht="15" hidden="false" customHeight="false" outlineLevel="0" collapsed="false">
      <c r="A547" s="38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40"/>
      <c r="P547" s="40"/>
      <c r="Q547" s="40"/>
      <c r="R547" s="39"/>
      <c r="S547" s="39"/>
    </row>
    <row r="548" customFormat="false" ht="15" hidden="false" customHeight="false" outlineLevel="0" collapsed="false">
      <c r="A548" s="38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40"/>
      <c r="P548" s="40"/>
      <c r="Q548" s="40"/>
      <c r="R548" s="39"/>
      <c r="S548" s="39"/>
    </row>
    <row r="549" customFormat="false" ht="15" hidden="false" customHeight="false" outlineLevel="0" collapsed="false">
      <c r="A549" s="38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40"/>
      <c r="P549" s="40"/>
      <c r="Q549" s="40"/>
      <c r="R549" s="39"/>
      <c r="S549" s="39"/>
    </row>
    <row r="550" customFormat="false" ht="15" hidden="false" customHeight="false" outlineLevel="0" collapsed="false">
      <c r="A550" s="38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40"/>
      <c r="P550" s="40"/>
      <c r="Q550" s="40"/>
      <c r="R550" s="39"/>
      <c r="S550" s="39"/>
    </row>
    <row r="551" customFormat="false" ht="15" hidden="false" customHeight="false" outlineLevel="0" collapsed="false">
      <c r="A551" s="38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40"/>
      <c r="P551" s="40"/>
      <c r="Q551" s="40"/>
      <c r="R551" s="39"/>
      <c r="S551" s="39"/>
    </row>
    <row r="552" customFormat="false" ht="15" hidden="false" customHeight="false" outlineLevel="0" collapsed="false">
      <c r="A552" s="38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40"/>
      <c r="P552" s="40"/>
      <c r="Q552" s="40"/>
      <c r="R552" s="39"/>
      <c r="S552" s="39"/>
    </row>
    <row r="553" customFormat="false" ht="15" hidden="false" customHeight="false" outlineLevel="0" collapsed="false">
      <c r="A553" s="38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40"/>
      <c r="P553" s="40"/>
      <c r="Q553" s="40"/>
      <c r="R553" s="39"/>
      <c r="S553" s="39"/>
    </row>
    <row r="554" customFormat="false" ht="15" hidden="false" customHeight="false" outlineLevel="0" collapsed="false">
      <c r="A554" s="38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40"/>
      <c r="P554" s="40"/>
      <c r="Q554" s="40"/>
      <c r="R554" s="39"/>
      <c r="S554" s="39"/>
    </row>
    <row r="555" customFormat="false" ht="15" hidden="false" customHeight="false" outlineLevel="0" collapsed="false">
      <c r="A555" s="38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40"/>
      <c r="P555" s="40"/>
      <c r="Q555" s="40"/>
      <c r="R555" s="39"/>
      <c r="S555" s="39"/>
    </row>
    <row r="556" customFormat="false" ht="15" hidden="false" customHeight="false" outlineLevel="0" collapsed="false">
      <c r="A556" s="38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40"/>
      <c r="P556" s="40"/>
      <c r="Q556" s="40"/>
      <c r="R556" s="39"/>
      <c r="S556" s="39"/>
    </row>
    <row r="557" customFormat="false" ht="15" hidden="false" customHeight="false" outlineLevel="0" collapsed="false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40"/>
      <c r="P557" s="40"/>
      <c r="Q557" s="40"/>
      <c r="R557" s="39"/>
      <c r="S557" s="39"/>
    </row>
    <row r="558" customFormat="false" ht="15" hidden="false" customHeight="false" outlineLevel="0" collapsed="false">
      <c r="A558" s="38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40"/>
      <c r="P558" s="40"/>
      <c r="Q558" s="40"/>
      <c r="R558" s="39"/>
      <c r="S558" s="39"/>
    </row>
    <row r="559" customFormat="false" ht="15" hidden="false" customHeight="false" outlineLevel="0" collapsed="false">
      <c r="A559" s="38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40"/>
      <c r="P559" s="40"/>
      <c r="Q559" s="40"/>
      <c r="R559" s="39"/>
      <c r="S559" s="39"/>
    </row>
    <row r="560" customFormat="false" ht="15" hidden="false" customHeight="false" outlineLevel="0" collapsed="false">
      <c r="A560" s="38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40"/>
      <c r="P560" s="40"/>
      <c r="Q560" s="40"/>
      <c r="R560" s="39"/>
      <c r="S560" s="39"/>
    </row>
    <row r="561" customFormat="false" ht="15" hidden="false" customHeight="false" outlineLevel="0" collapsed="false">
      <c r="A561" s="38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40"/>
      <c r="P561" s="40"/>
      <c r="Q561" s="40"/>
      <c r="R561" s="39"/>
      <c r="S561" s="39"/>
    </row>
    <row r="562" customFormat="false" ht="15" hidden="false" customHeight="false" outlineLevel="0" collapsed="false">
      <c r="A562" s="38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40"/>
      <c r="P562" s="40"/>
      <c r="Q562" s="40"/>
      <c r="R562" s="39"/>
      <c r="S562" s="39"/>
    </row>
    <row r="563" customFormat="false" ht="15" hidden="false" customHeight="false" outlineLevel="0" collapsed="false">
      <c r="A563" s="38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40"/>
      <c r="P563" s="40"/>
      <c r="Q563" s="40"/>
      <c r="R563" s="39"/>
      <c r="S563" s="39"/>
    </row>
    <row r="564" customFormat="false" ht="15" hidden="false" customHeight="false" outlineLevel="0" collapsed="false">
      <c r="A564" s="38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40"/>
      <c r="P564" s="40"/>
      <c r="Q564" s="40"/>
      <c r="R564" s="39"/>
      <c r="S564" s="39"/>
    </row>
    <row r="565" customFormat="false" ht="15" hidden="false" customHeight="false" outlineLevel="0" collapsed="false">
      <c r="A565" s="38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40"/>
      <c r="P565" s="40"/>
      <c r="Q565" s="40"/>
      <c r="R565" s="39"/>
      <c r="S565" s="39"/>
    </row>
    <row r="566" customFormat="false" ht="15" hidden="false" customHeight="false" outlineLevel="0" collapsed="false">
      <c r="A566" s="38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40"/>
      <c r="P566" s="40"/>
      <c r="Q566" s="40"/>
      <c r="R566" s="39"/>
      <c r="S566" s="39"/>
    </row>
    <row r="567" customFormat="false" ht="15" hidden="false" customHeight="false" outlineLevel="0" collapsed="false">
      <c r="A567" s="38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40"/>
      <c r="P567" s="40"/>
      <c r="Q567" s="40"/>
      <c r="R567" s="39"/>
      <c r="S567" s="39"/>
    </row>
    <row r="568" customFormat="false" ht="15" hidden="false" customHeight="false" outlineLevel="0" collapsed="false">
      <c r="A568" s="38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40"/>
      <c r="P568" s="40"/>
      <c r="Q568" s="40"/>
      <c r="R568" s="39"/>
      <c r="S568" s="39"/>
    </row>
    <row r="569" customFormat="false" ht="15" hidden="false" customHeight="false" outlineLevel="0" collapsed="false">
      <c r="A569" s="38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40"/>
      <c r="P569" s="40"/>
      <c r="Q569" s="40"/>
      <c r="R569" s="39"/>
      <c r="S569" s="39"/>
    </row>
    <row r="570" customFormat="false" ht="15" hidden="false" customHeight="false" outlineLevel="0" collapsed="false">
      <c r="A570" s="38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40"/>
      <c r="P570" s="40"/>
      <c r="Q570" s="40"/>
      <c r="R570" s="39"/>
      <c r="S570" s="39"/>
    </row>
    <row r="571" customFormat="false" ht="15" hidden="false" customHeight="false" outlineLevel="0" collapsed="false">
      <c r="A571" s="38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40"/>
      <c r="P571" s="40"/>
      <c r="Q571" s="40"/>
      <c r="R571" s="39"/>
      <c r="S571" s="39"/>
    </row>
    <row r="572" customFormat="false" ht="15" hidden="false" customHeight="false" outlineLevel="0" collapsed="false">
      <c r="A572" s="38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40"/>
      <c r="P572" s="40"/>
      <c r="Q572" s="40"/>
      <c r="R572" s="39"/>
      <c r="S572" s="39"/>
    </row>
    <row r="573" customFormat="false" ht="15" hidden="false" customHeight="false" outlineLevel="0" collapsed="false">
      <c r="A573" s="38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40"/>
      <c r="P573" s="40"/>
      <c r="Q573" s="40"/>
      <c r="R573" s="39"/>
      <c r="S573" s="39"/>
    </row>
    <row r="574" customFormat="false" ht="15" hidden="false" customHeight="false" outlineLevel="0" collapsed="false">
      <c r="A574" s="38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40"/>
      <c r="P574" s="40"/>
      <c r="Q574" s="40"/>
      <c r="R574" s="39"/>
      <c r="S574" s="39"/>
    </row>
    <row r="575" customFormat="false" ht="15" hidden="false" customHeight="false" outlineLevel="0" collapsed="false">
      <c r="A575" s="38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40"/>
      <c r="P575" s="40"/>
      <c r="Q575" s="40"/>
      <c r="R575" s="39"/>
      <c r="S575" s="39"/>
    </row>
    <row r="576" customFormat="false" ht="15" hidden="false" customHeight="false" outlineLevel="0" collapsed="false">
      <c r="A576" s="38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40"/>
      <c r="P576" s="40"/>
      <c r="Q576" s="40"/>
      <c r="R576" s="39"/>
      <c r="S576" s="39"/>
    </row>
    <row r="577" customFormat="false" ht="15" hidden="false" customHeight="false" outlineLevel="0" collapsed="false">
      <c r="A577" s="38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40"/>
      <c r="P577" s="40"/>
      <c r="Q577" s="40"/>
      <c r="R577" s="39"/>
      <c r="S577" s="39"/>
    </row>
    <row r="578" customFormat="false" ht="15" hidden="false" customHeight="false" outlineLevel="0" collapsed="false">
      <c r="A578" s="38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40"/>
      <c r="P578" s="40"/>
      <c r="Q578" s="40"/>
      <c r="R578" s="39"/>
      <c r="S578" s="39"/>
    </row>
    <row r="579" customFormat="false" ht="15" hidden="false" customHeight="false" outlineLevel="0" collapsed="false">
      <c r="A579" s="38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40"/>
      <c r="P579" s="40"/>
      <c r="Q579" s="40"/>
      <c r="R579" s="39"/>
      <c r="S579" s="39"/>
    </row>
    <row r="580" customFormat="false" ht="15" hidden="false" customHeight="false" outlineLevel="0" collapsed="false">
      <c r="A580" s="38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40"/>
      <c r="P580" s="40"/>
      <c r="Q580" s="40"/>
      <c r="R580" s="39"/>
      <c r="S580" s="39"/>
    </row>
    <row r="581" customFormat="false" ht="15" hidden="false" customHeight="false" outlineLevel="0" collapsed="false">
      <c r="A581" s="38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40"/>
      <c r="P581" s="40"/>
      <c r="Q581" s="40"/>
      <c r="R581" s="39"/>
      <c r="S581" s="39"/>
    </row>
    <row r="582" customFormat="false" ht="15" hidden="false" customHeight="false" outlineLevel="0" collapsed="false">
      <c r="A582" s="38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40"/>
      <c r="P582" s="40"/>
      <c r="Q582" s="40"/>
      <c r="R582" s="39"/>
      <c r="S582" s="39"/>
    </row>
    <row r="583" customFormat="false" ht="15" hidden="false" customHeight="false" outlineLevel="0" collapsed="false">
      <c r="A583" s="38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40"/>
      <c r="P583" s="40"/>
      <c r="Q583" s="40"/>
      <c r="R583" s="39"/>
      <c r="S583" s="39"/>
    </row>
    <row r="584" customFormat="false" ht="15" hidden="false" customHeight="false" outlineLevel="0" collapsed="false">
      <c r="A584" s="38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40"/>
      <c r="P584" s="40"/>
      <c r="Q584" s="40"/>
      <c r="R584" s="39"/>
      <c r="S584" s="39"/>
    </row>
    <row r="585" customFormat="false" ht="15" hidden="false" customHeight="false" outlineLevel="0" collapsed="false">
      <c r="A585" s="38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40"/>
      <c r="P585" s="40"/>
      <c r="Q585" s="40"/>
      <c r="R585" s="39"/>
      <c r="S585" s="39"/>
    </row>
    <row r="586" customFormat="false" ht="15" hidden="false" customHeight="false" outlineLevel="0" collapsed="false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40"/>
      <c r="P586" s="40"/>
      <c r="Q586" s="40"/>
      <c r="R586" s="39"/>
      <c r="S586" s="39"/>
    </row>
    <row r="587" customFormat="false" ht="15" hidden="false" customHeight="false" outlineLevel="0" collapsed="false">
      <c r="A587" s="38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40"/>
      <c r="P587" s="40"/>
      <c r="Q587" s="40"/>
      <c r="R587" s="39"/>
      <c r="S587" s="39"/>
    </row>
    <row r="588" customFormat="false" ht="15" hidden="false" customHeight="false" outlineLevel="0" collapsed="false">
      <c r="A588" s="38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40"/>
      <c r="P588" s="40"/>
      <c r="Q588" s="40"/>
      <c r="R588" s="39"/>
      <c r="S588" s="39"/>
    </row>
    <row r="589" customFormat="false" ht="15" hidden="false" customHeight="false" outlineLevel="0" collapsed="false">
      <c r="A589" s="38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40"/>
      <c r="P589" s="40"/>
      <c r="Q589" s="40"/>
      <c r="R589" s="39"/>
      <c r="S589" s="39"/>
    </row>
    <row r="590" customFormat="false" ht="15" hidden="false" customHeight="false" outlineLevel="0" collapsed="false">
      <c r="A590" s="38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40"/>
      <c r="P590" s="40"/>
      <c r="Q590" s="40"/>
      <c r="R590" s="39"/>
      <c r="S590" s="39"/>
    </row>
    <row r="591" customFormat="false" ht="15" hidden="false" customHeight="false" outlineLevel="0" collapsed="false">
      <c r="A591" s="38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40"/>
      <c r="P591" s="40"/>
      <c r="Q591" s="40"/>
      <c r="R591" s="39"/>
      <c r="S591" s="39"/>
    </row>
    <row r="592" customFormat="false" ht="15" hidden="false" customHeight="false" outlineLevel="0" collapsed="false">
      <c r="A592" s="38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40"/>
      <c r="P592" s="40"/>
      <c r="Q592" s="40"/>
      <c r="R592" s="39"/>
      <c r="S592" s="39"/>
    </row>
    <row r="593" customFormat="false" ht="15" hidden="false" customHeight="false" outlineLevel="0" collapsed="false">
      <c r="A593" s="38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40"/>
      <c r="P593" s="40"/>
      <c r="Q593" s="40"/>
      <c r="R593" s="39"/>
      <c r="S593" s="39"/>
    </row>
    <row r="594" customFormat="false" ht="15" hidden="false" customHeight="false" outlineLevel="0" collapsed="false">
      <c r="A594" s="38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40"/>
      <c r="P594" s="40"/>
      <c r="Q594" s="40"/>
      <c r="R594" s="39"/>
      <c r="S594" s="39"/>
    </row>
    <row r="595" customFormat="false" ht="15" hidden="false" customHeight="false" outlineLevel="0" collapsed="false">
      <c r="A595" s="38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40"/>
      <c r="P595" s="40"/>
      <c r="Q595" s="40"/>
      <c r="R595" s="39"/>
      <c r="S595" s="39"/>
    </row>
    <row r="596" customFormat="false" ht="15" hidden="false" customHeight="false" outlineLevel="0" collapsed="false">
      <c r="A596" s="38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40"/>
      <c r="P596" s="40"/>
      <c r="Q596" s="40"/>
      <c r="R596" s="39"/>
      <c r="S596" s="39"/>
    </row>
    <row r="597" customFormat="false" ht="15" hidden="false" customHeight="false" outlineLevel="0" collapsed="false">
      <c r="A597" s="38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40"/>
      <c r="P597" s="40"/>
      <c r="Q597" s="40"/>
      <c r="R597" s="39"/>
      <c r="S597" s="39"/>
    </row>
    <row r="598" customFormat="false" ht="15" hidden="false" customHeight="false" outlineLevel="0" collapsed="false">
      <c r="A598" s="38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40"/>
      <c r="P598" s="40"/>
      <c r="Q598" s="40"/>
      <c r="R598" s="39"/>
      <c r="S598" s="39"/>
    </row>
    <row r="599" customFormat="false" ht="15" hidden="false" customHeight="false" outlineLevel="0" collapsed="false">
      <c r="A599" s="38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40"/>
      <c r="P599" s="40"/>
      <c r="Q599" s="40"/>
      <c r="R599" s="39"/>
      <c r="S599" s="39"/>
    </row>
    <row r="600" customFormat="false" ht="15" hidden="false" customHeight="false" outlineLevel="0" collapsed="false">
      <c r="A600" s="38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40"/>
      <c r="P600" s="40"/>
      <c r="Q600" s="40"/>
      <c r="R600" s="39"/>
      <c r="S600" s="39"/>
    </row>
    <row r="601" customFormat="false" ht="15" hidden="false" customHeight="false" outlineLevel="0" collapsed="false">
      <c r="A601" s="38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40"/>
      <c r="P601" s="40"/>
      <c r="Q601" s="40"/>
      <c r="R601" s="39"/>
      <c r="S601" s="39"/>
    </row>
    <row r="602" customFormat="false" ht="15" hidden="false" customHeight="false" outlineLevel="0" collapsed="false">
      <c r="A602" s="38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40"/>
      <c r="P602" s="40"/>
      <c r="Q602" s="40"/>
      <c r="R602" s="39"/>
      <c r="S602" s="39"/>
    </row>
    <row r="603" customFormat="false" ht="15" hidden="false" customHeight="false" outlineLevel="0" collapsed="false">
      <c r="A603" s="38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40"/>
      <c r="P603" s="40"/>
      <c r="Q603" s="40"/>
      <c r="R603" s="39"/>
      <c r="S603" s="39"/>
    </row>
    <row r="604" customFormat="false" ht="15" hidden="false" customHeight="false" outlineLevel="0" collapsed="false">
      <c r="A604" s="38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40"/>
      <c r="P604" s="40"/>
      <c r="Q604" s="40"/>
      <c r="R604" s="39"/>
      <c r="S604" s="39"/>
    </row>
    <row r="605" customFormat="false" ht="15" hidden="false" customHeight="false" outlineLevel="0" collapsed="false">
      <c r="A605" s="38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40"/>
      <c r="P605" s="40"/>
      <c r="Q605" s="40"/>
      <c r="R605" s="39"/>
      <c r="S605" s="39"/>
    </row>
    <row r="606" customFormat="false" ht="15" hidden="false" customHeight="false" outlineLevel="0" collapsed="false">
      <c r="A606" s="38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40"/>
      <c r="P606" s="40"/>
      <c r="Q606" s="40"/>
      <c r="R606" s="39"/>
      <c r="S606" s="39"/>
    </row>
    <row r="607" customFormat="false" ht="15" hidden="false" customHeight="false" outlineLevel="0" collapsed="false">
      <c r="A607" s="38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40"/>
      <c r="P607" s="40"/>
      <c r="Q607" s="40"/>
      <c r="R607" s="39"/>
      <c r="S607" s="39"/>
    </row>
    <row r="608" customFormat="false" ht="15" hidden="false" customHeight="false" outlineLevel="0" collapsed="false">
      <c r="A608" s="38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40"/>
      <c r="P608" s="40"/>
      <c r="Q608" s="40"/>
      <c r="R608" s="39"/>
      <c r="S608" s="39"/>
    </row>
    <row r="609" customFormat="false" ht="15" hidden="false" customHeight="false" outlineLevel="0" collapsed="false">
      <c r="A609" s="38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40"/>
      <c r="P609" s="40"/>
      <c r="Q609" s="40"/>
      <c r="R609" s="39"/>
      <c r="S609" s="39"/>
    </row>
    <row r="610" customFormat="false" ht="15" hidden="false" customHeight="false" outlineLevel="0" collapsed="false">
      <c r="A610" s="38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40"/>
      <c r="P610" s="40"/>
      <c r="Q610" s="40"/>
      <c r="R610" s="39"/>
      <c r="S610" s="39"/>
    </row>
    <row r="611" customFormat="false" ht="15" hidden="false" customHeight="false" outlineLevel="0" collapsed="false">
      <c r="A611" s="38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40"/>
      <c r="P611" s="40"/>
      <c r="Q611" s="40"/>
      <c r="R611" s="39"/>
      <c r="S611" s="39"/>
    </row>
    <row r="612" customFormat="false" ht="15" hidden="false" customHeight="false" outlineLevel="0" collapsed="false">
      <c r="A612" s="38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40"/>
      <c r="P612" s="40"/>
      <c r="Q612" s="40"/>
      <c r="R612" s="39"/>
      <c r="S612" s="39"/>
    </row>
    <row r="613" customFormat="false" ht="15" hidden="false" customHeight="false" outlineLevel="0" collapsed="false">
      <c r="A613" s="38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40"/>
      <c r="P613" s="40"/>
      <c r="Q613" s="40"/>
      <c r="R613" s="39"/>
      <c r="S613" s="39"/>
    </row>
    <row r="614" customFormat="false" ht="15" hidden="false" customHeight="false" outlineLevel="0" collapsed="false">
      <c r="A614" s="38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40"/>
      <c r="P614" s="40"/>
      <c r="Q614" s="40"/>
      <c r="R614" s="39"/>
      <c r="S614" s="39"/>
    </row>
    <row r="615" customFormat="false" ht="15" hidden="false" customHeight="false" outlineLevel="0" collapsed="false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40"/>
      <c r="P615" s="40"/>
      <c r="Q615" s="40"/>
      <c r="R615" s="39"/>
      <c r="S615" s="39"/>
    </row>
    <row r="616" customFormat="false" ht="15" hidden="false" customHeight="false" outlineLevel="0" collapsed="false">
      <c r="A616" s="38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40"/>
      <c r="P616" s="40"/>
      <c r="Q616" s="40"/>
      <c r="R616" s="39"/>
      <c r="S616" s="39"/>
    </row>
    <row r="617" customFormat="false" ht="15" hidden="false" customHeight="false" outlineLevel="0" collapsed="false">
      <c r="A617" s="38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40"/>
      <c r="P617" s="40"/>
      <c r="Q617" s="40"/>
      <c r="R617" s="39"/>
      <c r="S617" s="39"/>
    </row>
    <row r="618" customFormat="false" ht="15" hidden="false" customHeight="false" outlineLevel="0" collapsed="false">
      <c r="A618" s="38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40"/>
      <c r="P618" s="40"/>
      <c r="Q618" s="40"/>
      <c r="R618" s="39"/>
      <c r="S618" s="39"/>
    </row>
    <row r="619" customFormat="false" ht="15" hidden="false" customHeight="false" outlineLevel="0" collapsed="false">
      <c r="A619" s="38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40"/>
      <c r="P619" s="40"/>
      <c r="Q619" s="40"/>
      <c r="R619" s="39"/>
      <c r="S619" s="39"/>
    </row>
    <row r="620" customFormat="false" ht="15" hidden="false" customHeight="false" outlineLevel="0" collapsed="false">
      <c r="A620" s="38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40"/>
      <c r="P620" s="40"/>
      <c r="Q620" s="40"/>
      <c r="R620" s="39"/>
      <c r="S620" s="39"/>
    </row>
    <row r="621" customFormat="false" ht="15" hidden="false" customHeight="false" outlineLevel="0" collapsed="false">
      <c r="A621" s="38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40"/>
      <c r="P621" s="40"/>
      <c r="Q621" s="40"/>
      <c r="R621" s="39"/>
      <c r="S621" s="39"/>
    </row>
    <row r="622" customFormat="false" ht="15" hidden="false" customHeight="false" outlineLevel="0" collapsed="false">
      <c r="A622" s="38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40"/>
      <c r="P622" s="40"/>
      <c r="Q622" s="40"/>
      <c r="R622" s="39"/>
      <c r="S622" s="39"/>
    </row>
    <row r="623" customFormat="false" ht="15" hidden="false" customHeight="false" outlineLevel="0" collapsed="false">
      <c r="A623" s="38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40"/>
      <c r="P623" s="40"/>
      <c r="Q623" s="40"/>
      <c r="R623" s="39"/>
      <c r="S623" s="39"/>
    </row>
    <row r="624" customFormat="false" ht="15" hidden="false" customHeight="false" outlineLevel="0" collapsed="false">
      <c r="A624" s="38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40"/>
      <c r="P624" s="40"/>
      <c r="Q624" s="40"/>
      <c r="R624" s="39"/>
      <c r="S624" s="39"/>
    </row>
    <row r="625" customFormat="false" ht="15" hidden="false" customHeight="false" outlineLevel="0" collapsed="false">
      <c r="A625" s="38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40"/>
      <c r="P625" s="40"/>
      <c r="Q625" s="40"/>
      <c r="R625" s="39"/>
      <c r="S625" s="39"/>
    </row>
    <row r="626" customFormat="false" ht="15" hidden="false" customHeight="false" outlineLevel="0" collapsed="false">
      <c r="A626" s="38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40"/>
      <c r="P626" s="40"/>
      <c r="Q626" s="40"/>
      <c r="R626" s="39"/>
      <c r="S626" s="39"/>
    </row>
    <row r="627" customFormat="false" ht="15" hidden="false" customHeight="false" outlineLevel="0" collapsed="false">
      <c r="A627" s="38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40"/>
      <c r="P627" s="40"/>
      <c r="Q627" s="40"/>
      <c r="R627" s="39"/>
      <c r="S627" s="39"/>
    </row>
    <row r="628" customFormat="false" ht="15" hidden="false" customHeight="false" outlineLevel="0" collapsed="false">
      <c r="A628" s="38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40"/>
      <c r="P628" s="40"/>
      <c r="Q628" s="40"/>
      <c r="R628" s="39"/>
      <c r="S628" s="39"/>
    </row>
    <row r="629" customFormat="false" ht="15" hidden="false" customHeight="false" outlineLevel="0" collapsed="false">
      <c r="A629" s="38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40"/>
      <c r="P629" s="40"/>
      <c r="Q629" s="40"/>
      <c r="R629" s="39"/>
      <c r="S629" s="39"/>
    </row>
    <row r="630" customFormat="false" ht="15" hidden="false" customHeight="false" outlineLevel="0" collapsed="false">
      <c r="A630" s="38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40"/>
      <c r="P630" s="40"/>
      <c r="Q630" s="40"/>
      <c r="R630" s="39"/>
      <c r="S630" s="39"/>
    </row>
    <row r="631" customFormat="false" ht="15" hidden="false" customHeight="false" outlineLevel="0" collapsed="false">
      <c r="A631" s="38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40"/>
      <c r="P631" s="40"/>
      <c r="Q631" s="40"/>
      <c r="R631" s="39"/>
      <c r="S631" s="39"/>
    </row>
    <row r="632" customFormat="false" ht="15" hidden="false" customHeight="false" outlineLevel="0" collapsed="false">
      <c r="A632" s="38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40"/>
      <c r="P632" s="40"/>
      <c r="Q632" s="40"/>
      <c r="R632" s="39"/>
      <c r="S632" s="39"/>
    </row>
    <row r="633" customFormat="false" ht="15" hidden="false" customHeight="false" outlineLevel="0" collapsed="false">
      <c r="A633" s="38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40"/>
      <c r="P633" s="40"/>
      <c r="Q633" s="40"/>
      <c r="R633" s="39"/>
      <c r="S633" s="39"/>
    </row>
    <row r="634" customFormat="false" ht="15" hidden="false" customHeight="false" outlineLevel="0" collapsed="false">
      <c r="A634" s="38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40"/>
      <c r="P634" s="40"/>
      <c r="Q634" s="40"/>
      <c r="R634" s="39"/>
      <c r="S634" s="39"/>
    </row>
    <row r="635" customFormat="false" ht="15" hidden="false" customHeight="false" outlineLevel="0" collapsed="false">
      <c r="A635" s="38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40"/>
      <c r="P635" s="40"/>
      <c r="Q635" s="40"/>
      <c r="R635" s="39"/>
      <c r="S635" s="39"/>
    </row>
    <row r="636" customFormat="false" ht="15" hidden="false" customHeight="false" outlineLevel="0" collapsed="false">
      <c r="A636" s="38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40"/>
      <c r="P636" s="40"/>
      <c r="Q636" s="40"/>
      <c r="R636" s="39"/>
      <c r="S636" s="39"/>
    </row>
    <row r="637" customFormat="false" ht="15" hidden="false" customHeight="false" outlineLevel="0" collapsed="false">
      <c r="A637" s="38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40"/>
      <c r="P637" s="40"/>
      <c r="Q637" s="40"/>
      <c r="R637" s="39"/>
      <c r="S637" s="39"/>
    </row>
    <row r="638" customFormat="false" ht="15" hidden="false" customHeight="false" outlineLevel="0" collapsed="false">
      <c r="A638" s="38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40"/>
      <c r="P638" s="40"/>
      <c r="Q638" s="40"/>
      <c r="R638" s="39"/>
      <c r="S638" s="39"/>
    </row>
    <row r="639" customFormat="false" ht="15" hidden="false" customHeight="false" outlineLevel="0" collapsed="false">
      <c r="A639" s="38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40"/>
      <c r="P639" s="40"/>
      <c r="Q639" s="40"/>
      <c r="R639" s="39"/>
      <c r="S639" s="39"/>
    </row>
    <row r="640" customFormat="false" ht="15" hidden="false" customHeight="false" outlineLevel="0" collapsed="false">
      <c r="A640" s="38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40"/>
      <c r="P640" s="40"/>
      <c r="Q640" s="40"/>
      <c r="R640" s="39"/>
      <c r="S640" s="39"/>
    </row>
    <row r="641" customFormat="false" ht="15" hidden="false" customHeight="false" outlineLevel="0" collapsed="false">
      <c r="A641" s="38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40"/>
      <c r="P641" s="40"/>
      <c r="Q641" s="40"/>
      <c r="R641" s="39"/>
      <c r="S641" s="39"/>
    </row>
    <row r="642" customFormat="false" ht="15" hidden="false" customHeight="false" outlineLevel="0" collapsed="false">
      <c r="A642" s="38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40"/>
      <c r="P642" s="40"/>
      <c r="Q642" s="40"/>
      <c r="R642" s="39"/>
      <c r="S642" s="39"/>
    </row>
    <row r="643" customFormat="false" ht="15" hidden="false" customHeight="false" outlineLevel="0" collapsed="false">
      <c r="A643" s="38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40"/>
      <c r="P643" s="40"/>
      <c r="Q643" s="40"/>
      <c r="R643" s="39"/>
      <c r="S643" s="39"/>
    </row>
    <row r="644" customFormat="false" ht="15" hidden="false" customHeight="false" outlineLevel="0" collapsed="false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40"/>
      <c r="P644" s="40"/>
      <c r="Q644" s="40"/>
      <c r="R644" s="39"/>
      <c r="S644" s="39"/>
    </row>
    <row r="645" customFormat="false" ht="15" hidden="false" customHeight="false" outlineLevel="0" collapsed="false">
      <c r="A645" s="38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40"/>
      <c r="P645" s="40"/>
      <c r="Q645" s="40"/>
      <c r="R645" s="39"/>
      <c r="S645" s="39"/>
    </row>
    <row r="646" customFormat="false" ht="15" hidden="false" customHeight="false" outlineLevel="0" collapsed="false">
      <c r="A646" s="38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40"/>
      <c r="P646" s="40"/>
      <c r="Q646" s="40"/>
      <c r="R646" s="39"/>
      <c r="S646" s="39"/>
    </row>
    <row r="647" customFormat="false" ht="15" hidden="false" customHeight="false" outlineLevel="0" collapsed="false">
      <c r="A647" s="38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40"/>
      <c r="P647" s="40"/>
      <c r="Q647" s="40"/>
      <c r="R647" s="39"/>
      <c r="S647" s="39"/>
    </row>
    <row r="648" customFormat="false" ht="15" hidden="false" customHeight="false" outlineLevel="0" collapsed="false">
      <c r="A648" s="38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40"/>
      <c r="P648" s="40"/>
      <c r="Q648" s="40"/>
      <c r="R648" s="39"/>
      <c r="S648" s="39"/>
    </row>
    <row r="649" customFormat="false" ht="15" hidden="false" customHeight="false" outlineLevel="0" collapsed="false">
      <c r="A649" s="38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40"/>
      <c r="P649" s="40"/>
      <c r="Q649" s="40"/>
      <c r="R649" s="39"/>
      <c r="S649" s="39"/>
    </row>
    <row r="650" customFormat="false" ht="15" hidden="false" customHeight="false" outlineLevel="0" collapsed="false">
      <c r="A650" s="38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40"/>
      <c r="P650" s="40"/>
      <c r="Q650" s="40"/>
      <c r="R650" s="39"/>
      <c r="S650" s="39"/>
    </row>
    <row r="651" customFormat="false" ht="15" hidden="false" customHeight="false" outlineLevel="0" collapsed="false">
      <c r="A651" s="38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40"/>
      <c r="P651" s="40"/>
      <c r="Q651" s="40"/>
      <c r="R651" s="39"/>
      <c r="S651" s="39"/>
    </row>
    <row r="652" customFormat="false" ht="15" hidden="false" customHeight="false" outlineLevel="0" collapsed="false">
      <c r="A652" s="38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40"/>
      <c r="P652" s="40"/>
      <c r="Q652" s="40"/>
      <c r="R652" s="39"/>
      <c r="S652" s="39"/>
    </row>
    <row r="653" customFormat="false" ht="15" hidden="false" customHeight="false" outlineLevel="0" collapsed="false">
      <c r="A653" s="38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40"/>
      <c r="P653" s="40"/>
      <c r="Q653" s="40"/>
      <c r="R653" s="39"/>
      <c r="S653" s="39"/>
    </row>
    <row r="654" customFormat="false" ht="15" hidden="false" customHeight="false" outlineLevel="0" collapsed="false">
      <c r="A654" s="38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40"/>
      <c r="P654" s="40"/>
      <c r="Q654" s="40"/>
      <c r="R654" s="39"/>
      <c r="S654" s="39"/>
    </row>
    <row r="655" customFormat="false" ht="15" hidden="false" customHeight="false" outlineLevel="0" collapsed="false">
      <c r="A655" s="38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40"/>
      <c r="P655" s="40"/>
      <c r="Q655" s="40"/>
      <c r="R655" s="39"/>
      <c r="S655" s="39"/>
    </row>
    <row r="656" customFormat="false" ht="15" hidden="false" customHeight="false" outlineLevel="0" collapsed="false">
      <c r="A656" s="38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40"/>
      <c r="P656" s="40"/>
      <c r="Q656" s="40"/>
      <c r="R656" s="39"/>
      <c r="S656" s="39"/>
    </row>
    <row r="657" customFormat="false" ht="15" hidden="false" customHeight="false" outlineLevel="0" collapsed="false">
      <c r="A657" s="38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40"/>
      <c r="P657" s="40"/>
      <c r="Q657" s="40"/>
      <c r="R657" s="39"/>
      <c r="S657" s="39"/>
    </row>
    <row r="658" customFormat="false" ht="15" hidden="false" customHeight="false" outlineLevel="0" collapsed="false">
      <c r="A658" s="38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40"/>
      <c r="P658" s="40"/>
      <c r="Q658" s="40"/>
      <c r="R658" s="39"/>
      <c r="S658" s="39"/>
    </row>
    <row r="659" customFormat="false" ht="15" hidden="false" customHeight="false" outlineLevel="0" collapsed="false">
      <c r="A659" s="38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40"/>
      <c r="P659" s="40"/>
      <c r="Q659" s="40"/>
      <c r="R659" s="39"/>
      <c r="S659" s="39"/>
    </row>
    <row r="660" customFormat="false" ht="15" hidden="false" customHeight="false" outlineLevel="0" collapsed="false">
      <c r="A660" s="38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40"/>
      <c r="P660" s="40"/>
      <c r="Q660" s="40"/>
      <c r="R660" s="39"/>
      <c r="S660" s="39"/>
    </row>
    <row r="661" customFormat="false" ht="15" hidden="false" customHeight="false" outlineLevel="0" collapsed="false">
      <c r="A661" s="38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40"/>
      <c r="P661" s="40"/>
      <c r="Q661" s="40"/>
      <c r="R661" s="39"/>
      <c r="S661" s="39"/>
    </row>
    <row r="662" customFormat="false" ht="15" hidden="false" customHeight="false" outlineLevel="0" collapsed="false">
      <c r="A662" s="38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40"/>
      <c r="P662" s="40"/>
      <c r="Q662" s="40"/>
      <c r="R662" s="39"/>
      <c r="S662" s="39"/>
    </row>
    <row r="663" customFormat="false" ht="15" hidden="false" customHeight="false" outlineLevel="0" collapsed="false">
      <c r="A663" s="38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40"/>
      <c r="P663" s="40"/>
      <c r="Q663" s="40"/>
      <c r="R663" s="39"/>
      <c r="S663" s="39"/>
    </row>
    <row r="664" customFormat="false" ht="15" hidden="false" customHeight="false" outlineLevel="0" collapsed="false">
      <c r="A664" s="38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40"/>
      <c r="P664" s="40"/>
      <c r="Q664" s="40"/>
      <c r="R664" s="39"/>
      <c r="S664" s="39"/>
    </row>
    <row r="665" customFormat="false" ht="15" hidden="false" customHeight="false" outlineLevel="0" collapsed="false">
      <c r="A665" s="38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40"/>
      <c r="P665" s="40"/>
      <c r="Q665" s="40"/>
      <c r="R665" s="39"/>
      <c r="S665" s="39"/>
    </row>
    <row r="666" customFormat="false" ht="15" hidden="false" customHeight="false" outlineLevel="0" collapsed="false">
      <c r="A666" s="38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40"/>
      <c r="P666" s="40"/>
      <c r="Q666" s="40"/>
      <c r="R666" s="39"/>
      <c r="S666" s="39"/>
    </row>
    <row r="667" customFormat="false" ht="15" hidden="false" customHeight="false" outlineLevel="0" collapsed="false">
      <c r="A667" s="38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40"/>
      <c r="P667" s="40"/>
      <c r="Q667" s="40"/>
      <c r="R667" s="39"/>
      <c r="S667" s="39"/>
    </row>
    <row r="668" customFormat="false" ht="15" hidden="false" customHeight="false" outlineLevel="0" collapsed="false">
      <c r="A668" s="38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40"/>
      <c r="P668" s="40"/>
      <c r="Q668" s="40"/>
      <c r="R668" s="39"/>
      <c r="S668" s="39"/>
    </row>
    <row r="669" customFormat="false" ht="15" hidden="false" customHeight="false" outlineLevel="0" collapsed="false">
      <c r="A669" s="38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40"/>
      <c r="P669" s="40"/>
      <c r="Q669" s="40"/>
      <c r="R669" s="39"/>
      <c r="S669" s="39"/>
    </row>
    <row r="670" customFormat="false" ht="15" hidden="false" customHeight="false" outlineLevel="0" collapsed="false">
      <c r="A670" s="38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40"/>
      <c r="P670" s="40"/>
      <c r="Q670" s="40"/>
      <c r="R670" s="39"/>
      <c r="S670" s="39"/>
    </row>
    <row r="671" customFormat="false" ht="15" hidden="false" customHeight="false" outlineLevel="0" collapsed="false">
      <c r="A671" s="38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40"/>
      <c r="P671" s="40"/>
      <c r="Q671" s="40"/>
      <c r="R671" s="39"/>
      <c r="S671" s="39"/>
    </row>
    <row r="672" customFormat="false" ht="15" hidden="false" customHeight="false" outlineLevel="0" collapsed="false">
      <c r="A672" s="38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40"/>
      <c r="P672" s="40"/>
      <c r="Q672" s="40"/>
      <c r="R672" s="39"/>
      <c r="S672" s="39"/>
    </row>
    <row r="673" customFormat="false" ht="15" hidden="false" customHeight="false" outlineLevel="0" collapsed="false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40"/>
      <c r="P673" s="40"/>
      <c r="Q673" s="40"/>
      <c r="R673" s="39"/>
      <c r="S673" s="39"/>
    </row>
    <row r="674" customFormat="false" ht="15" hidden="false" customHeight="false" outlineLevel="0" collapsed="false">
      <c r="A674" s="38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40"/>
      <c r="P674" s="40"/>
      <c r="Q674" s="40"/>
      <c r="R674" s="39"/>
      <c r="S674" s="39"/>
    </row>
    <row r="675" customFormat="false" ht="15" hidden="false" customHeight="false" outlineLevel="0" collapsed="false">
      <c r="A675" s="38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40"/>
      <c r="P675" s="40"/>
      <c r="Q675" s="40"/>
      <c r="R675" s="39"/>
      <c r="S675" s="39"/>
    </row>
    <row r="676" customFormat="false" ht="15" hidden="false" customHeight="false" outlineLevel="0" collapsed="false">
      <c r="A676" s="38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40"/>
      <c r="P676" s="40"/>
      <c r="Q676" s="40"/>
      <c r="R676" s="39"/>
      <c r="S676" s="39"/>
    </row>
    <row r="677" customFormat="false" ht="15" hidden="false" customHeight="false" outlineLevel="0" collapsed="false">
      <c r="A677" s="38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40"/>
      <c r="P677" s="40"/>
      <c r="Q677" s="40"/>
      <c r="R677" s="39"/>
      <c r="S677" s="39"/>
    </row>
    <row r="678" customFormat="false" ht="15" hidden="false" customHeight="false" outlineLevel="0" collapsed="false">
      <c r="A678" s="38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40"/>
      <c r="P678" s="40"/>
      <c r="Q678" s="40"/>
      <c r="R678" s="39"/>
      <c r="S678" s="39"/>
    </row>
    <row r="679" customFormat="false" ht="15" hidden="false" customHeight="false" outlineLevel="0" collapsed="false">
      <c r="A679" s="38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40"/>
      <c r="P679" s="40"/>
      <c r="Q679" s="40"/>
      <c r="R679" s="39"/>
      <c r="S679" s="39"/>
    </row>
    <row r="680" customFormat="false" ht="15" hidden="false" customHeight="false" outlineLevel="0" collapsed="false">
      <c r="A680" s="38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40"/>
      <c r="P680" s="40"/>
      <c r="Q680" s="40"/>
      <c r="R680" s="39"/>
      <c r="S680" s="39"/>
    </row>
    <row r="681" customFormat="false" ht="15" hidden="false" customHeight="false" outlineLevel="0" collapsed="false">
      <c r="A681" s="38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40"/>
      <c r="P681" s="40"/>
      <c r="Q681" s="40"/>
      <c r="R681" s="39"/>
      <c r="S681" s="39"/>
    </row>
    <row r="682" customFormat="false" ht="15" hidden="false" customHeight="false" outlineLevel="0" collapsed="false">
      <c r="A682" s="38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40"/>
      <c r="P682" s="40"/>
      <c r="Q682" s="40"/>
      <c r="R682" s="39"/>
      <c r="S682" s="39"/>
    </row>
    <row r="683" customFormat="false" ht="15" hidden="false" customHeight="false" outlineLevel="0" collapsed="false">
      <c r="A683" s="38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40"/>
      <c r="P683" s="40"/>
      <c r="Q683" s="40"/>
      <c r="R683" s="39"/>
      <c r="S683" s="39"/>
    </row>
    <row r="684" customFormat="false" ht="15" hidden="false" customHeight="false" outlineLevel="0" collapsed="false">
      <c r="A684" s="38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40"/>
      <c r="P684" s="40"/>
      <c r="Q684" s="40"/>
      <c r="R684" s="39"/>
      <c r="S684" s="39"/>
    </row>
    <row r="685" customFormat="false" ht="15" hidden="false" customHeight="false" outlineLevel="0" collapsed="false">
      <c r="A685" s="38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40"/>
      <c r="P685" s="40"/>
      <c r="Q685" s="40"/>
      <c r="R685" s="39"/>
      <c r="S685" s="39"/>
    </row>
    <row r="686" customFormat="false" ht="15" hidden="false" customHeight="false" outlineLevel="0" collapsed="false">
      <c r="A686" s="38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40"/>
      <c r="P686" s="40"/>
      <c r="Q686" s="40"/>
      <c r="R686" s="39"/>
      <c r="S686" s="39"/>
    </row>
    <row r="687" customFormat="false" ht="15" hidden="false" customHeight="false" outlineLevel="0" collapsed="false">
      <c r="A687" s="38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40"/>
      <c r="P687" s="40"/>
      <c r="Q687" s="40"/>
      <c r="R687" s="39"/>
      <c r="S687" s="39"/>
    </row>
    <row r="688" customFormat="false" ht="15" hidden="false" customHeight="false" outlineLevel="0" collapsed="false">
      <c r="A688" s="38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40"/>
      <c r="P688" s="40"/>
      <c r="Q688" s="40"/>
      <c r="R688" s="39"/>
      <c r="S688" s="39"/>
    </row>
    <row r="689" customFormat="false" ht="15" hidden="false" customHeight="false" outlineLevel="0" collapsed="false">
      <c r="A689" s="38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40"/>
      <c r="P689" s="40"/>
      <c r="Q689" s="40"/>
      <c r="R689" s="39"/>
      <c r="S689" s="39"/>
    </row>
    <row r="690" customFormat="false" ht="15" hidden="false" customHeight="false" outlineLevel="0" collapsed="false">
      <c r="A690" s="38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40"/>
      <c r="P690" s="40"/>
      <c r="Q690" s="40"/>
      <c r="R690" s="39"/>
      <c r="S690" s="39"/>
    </row>
    <row r="691" customFormat="false" ht="15" hidden="false" customHeight="false" outlineLevel="0" collapsed="false">
      <c r="A691" s="38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40"/>
      <c r="P691" s="40"/>
      <c r="Q691" s="40"/>
      <c r="R691" s="39"/>
      <c r="S691" s="39"/>
    </row>
    <row r="692" customFormat="false" ht="15" hidden="false" customHeight="false" outlineLevel="0" collapsed="false">
      <c r="A692" s="38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40"/>
      <c r="P692" s="40"/>
      <c r="Q692" s="40"/>
      <c r="R692" s="39"/>
      <c r="S692" s="39"/>
    </row>
    <row r="693" customFormat="false" ht="15" hidden="false" customHeight="false" outlineLevel="0" collapsed="false">
      <c r="A693" s="38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40"/>
      <c r="P693" s="40"/>
      <c r="Q693" s="40"/>
      <c r="R693" s="39"/>
      <c r="S693" s="39"/>
    </row>
    <row r="694" customFormat="false" ht="15" hidden="false" customHeight="false" outlineLevel="0" collapsed="false">
      <c r="A694" s="38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40"/>
      <c r="P694" s="40"/>
      <c r="Q694" s="40"/>
      <c r="R694" s="39"/>
      <c r="S694" s="39"/>
    </row>
    <row r="695" customFormat="false" ht="15" hidden="false" customHeight="false" outlineLevel="0" collapsed="false">
      <c r="A695" s="38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40"/>
      <c r="P695" s="40"/>
      <c r="Q695" s="40"/>
      <c r="R695" s="39"/>
      <c r="S695" s="39"/>
    </row>
    <row r="696" customFormat="false" ht="15" hidden="false" customHeight="false" outlineLevel="0" collapsed="false">
      <c r="A696" s="38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40"/>
      <c r="P696" s="40"/>
      <c r="Q696" s="40"/>
      <c r="R696" s="39"/>
      <c r="S696" s="39"/>
    </row>
    <row r="697" customFormat="false" ht="15" hidden="false" customHeight="false" outlineLevel="0" collapsed="false">
      <c r="A697" s="38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40"/>
      <c r="P697" s="40"/>
      <c r="Q697" s="40"/>
      <c r="R697" s="39"/>
      <c r="S697" s="39"/>
    </row>
    <row r="698" customFormat="false" ht="15" hidden="false" customHeight="false" outlineLevel="0" collapsed="false">
      <c r="A698" s="38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40"/>
      <c r="P698" s="40"/>
      <c r="Q698" s="40"/>
      <c r="R698" s="39"/>
      <c r="S698" s="39"/>
    </row>
    <row r="699" customFormat="false" ht="15" hidden="false" customHeight="false" outlineLevel="0" collapsed="false">
      <c r="A699" s="38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40"/>
      <c r="P699" s="40"/>
      <c r="Q699" s="40"/>
      <c r="R699" s="39"/>
      <c r="S699" s="39"/>
    </row>
    <row r="700" customFormat="false" ht="15" hidden="false" customHeight="false" outlineLevel="0" collapsed="false">
      <c r="A700" s="38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40"/>
      <c r="P700" s="40"/>
      <c r="Q700" s="40"/>
      <c r="R700" s="39"/>
      <c r="S700" s="39"/>
    </row>
    <row r="701" customFormat="false" ht="15" hidden="false" customHeight="false" outlineLevel="0" collapsed="false">
      <c r="A701" s="38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40"/>
      <c r="P701" s="40"/>
      <c r="Q701" s="40"/>
      <c r="R701" s="39"/>
      <c r="S701" s="39"/>
    </row>
    <row r="702" customFormat="false" ht="15" hidden="false" customHeight="false" outlineLevel="0" collapsed="false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40"/>
      <c r="P702" s="40"/>
      <c r="Q702" s="40"/>
      <c r="R702" s="39"/>
      <c r="S702" s="39"/>
    </row>
    <row r="703" customFormat="false" ht="15" hidden="false" customHeight="false" outlineLevel="0" collapsed="false">
      <c r="A703" s="38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40"/>
      <c r="P703" s="40"/>
      <c r="Q703" s="40"/>
      <c r="R703" s="39"/>
      <c r="S703" s="39"/>
    </row>
    <row r="704" customFormat="false" ht="15" hidden="false" customHeight="false" outlineLevel="0" collapsed="false">
      <c r="A704" s="38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40"/>
      <c r="P704" s="40"/>
      <c r="Q704" s="40"/>
      <c r="R704" s="39"/>
      <c r="S704" s="39"/>
    </row>
    <row r="705" customFormat="false" ht="15" hidden="false" customHeight="false" outlineLevel="0" collapsed="false">
      <c r="A705" s="38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40"/>
      <c r="P705" s="40"/>
      <c r="Q705" s="40"/>
      <c r="R705" s="39"/>
      <c r="S705" s="39"/>
    </row>
    <row r="706" customFormat="false" ht="15" hidden="false" customHeight="false" outlineLevel="0" collapsed="false">
      <c r="A706" s="38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40"/>
      <c r="P706" s="40"/>
      <c r="Q706" s="40"/>
      <c r="R706" s="39"/>
      <c r="S706" s="39"/>
    </row>
    <row r="707" customFormat="false" ht="15" hidden="false" customHeight="false" outlineLevel="0" collapsed="false">
      <c r="A707" s="38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40"/>
      <c r="P707" s="40"/>
      <c r="Q707" s="40"/>
      <c r="R707" s="39"/>
      <c r="S707" s="39"/>
    </row>
    <row r="708" customFormat="false" ht="15" hidden="false" customHeight="false" outlineLevel="0" collapsed="false">
      <c r="A708" s="38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40"/>
      <c r="P708" s="40"/>
      <c r="Q708" s="40"/>
      <c r="R708" s="39"/>
      <c r="S708" s="39"/>
    </row>
    <row r="709" customFormat="false" ht="15" hidden="false" customHeight="false" outlineLevel="0" collapsed="false">
      <c r="A709" s="38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40"/>
      <c r="P709" s="40"/>
      <c r="Q709" s="40"/>
      <c r="R709" s="39"/>
      <c r="S709" s="39"/>
    </row>
    <row r="710" customFormat="false" ht="15" hidden="false" customHeight="false" outlineLevel="0" collapsed="false">
      <c r="A710" s="38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40"/>
      <c r="P710" s="40"/>
      <c r="Q710" s="40"/>
      <c r="R710" s="39"/>
      <c r="S710" s="39"/>
    </row>
    <row r="711" customFormat="false" ht="15" hidden="false" customHeight="false" outlineLevel="0" collapsed="false">
      <c r="A711" s="38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40"/>
      <c r="P711" s="40"/>
      <c r="Q711" s="40"/>
      <c r="R711" s="39"/>
      <c r="S711" s="39"/>
    </row>
    <row r="712" customFormat="false" ht="15" hidden="false" customHeight="false" outlineLevel="0" collapsed="false">
      <c r="A712" s="38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40"/>
      <c r="P712" s="40"/>
      <c r="Q712" s="40"/>
      <c r="R712" s="39"/>
      <c r="S712" s="39"/>
    </row>
    <row r="713" customFormat="false" ht="15" hidden="false" customHeight="false" outlineLevel="0" collapsed="false">
      <c r="A713" s="38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40"/>
      <c r="P713" s="40"/>
      <c r="Q713" s="40"/>
      <c r="R713" s="39"/>
      <c r="S713" s="39"/>
    </row>
    <row r="714" customFormat="false" ht="15" hidden="false" customHeight="false" outlineLevel="0" collapsed="false">
      <c r="A714" s="38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40"/>
      <c r="P714" s="40"/>
      <c r="Q714" s="40"/>
      <c r="R714" s="39"/>
      <c r="S714" s="39"/>
    </row>
    <row r="715" customFormat="false" ht="15" hidden="false" customHeight="false" outlineLevel="0" collapsed="false">
      <c r="A715" s="38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40"/>
      <c r="P715" s="40"/>
      <c r="Q715" s="40"/>
      <c r="R715" s="39"/>
      <c r="S715" s="39"/>
    </row>
    <row r="716" customFormat="false" ht="15" hidden="false" customHeight="false" outlineLevel="0" collapsed="false">
      <c r="A716" s="38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40"/>
      <c r="P716" s="40"/>
      <c r="Q716" s="40"/>
      <c r="R716" s="39"/>
      <c r="S716" s="39"/>
    </row>
    <row r="717" customFormat="false" ht="15" hidden="false" customHeight="false" outlineLevel="0" collapsed="false">
      <c r="A717" s="38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40"/>
      <c r="P717" s="40"/>
      <c r="Q717" s="40"/>
      <c r="R717" s="39"/>
      <c r="S717" s="39"/>
    </row>
    <row r="718" customFormat="false" ht="15" hidden="false" customHeight="false" outlineLevel="0" collapsed="false">
      <c r="A718" s="38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40"/>
      <c r="P718" s="40"/>
      <c r="Q718" s="40"/>
      <c r="R718" s="39"/>
      <c r="S718" s="39"/>
    </row>
    <row r="719" customFormat="false" ht="15" hidden="false" customHeight="false" outlineLevel="0" collapsed="false">
      <c r="A719" s="38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40"/>
      <c r="P719" s="40"/>
      <c r="Q719" s="40"/>
      <c r="R719" s="39"/>
      <c r="S719" s="39"/>
    </row>
    <row r="720" customFormat="false" ht="15" hidden="false" customHeight="false" outlineLevel="0" collapsed="false">
      <c r="A720" s="38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40"/>
      <c r="P720" s="40"/>
      <c r="Q720" s="40"/>
      <c r="R720" s="39"/>
      <c r="S720" s="39"/>
    </row>
    <row r="721" customFormat="false" ht="15" hidden="false" customHeight="false" outlineLevel="0" collapsed="false">
      <c r="A721" s="38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40"/>
      <c r="P721" s="40"/>
      <c r="Q721" s="40"/>
      <c r="R721" s="39"/>
      <c r="S721" s="39"/>
    </row>
    <row r="722" customFormat="false" ht="15" hidden="false" customHeight="false" outlineLevel="0" collapsed="false">
      <c r="A722" s="38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40"/>
      <c r="P722" s="40"/>
      <c r="Q722" s="40"/>
      <c r="R722" s="39"/>
      <c r="S722" s="39"/>
    </row>
    <row r="723" customFormat="false" ht="15" hidden="false" customHeight="false" outlineLevel="0" collapsed="false">
      <c r="A723" s="38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40"/>
      <c r="P723" s="40"/>
      <c r="Q723" s="40"/>
      <c r="R723" s="39"/>
      <c r="S723" s="39"/>
    </row>
    <row r="724" customFormat="false" ht="15" hidden="false" customHeight="false" outlineLevel="0" collapsed="false">
      <c r="A724" s="38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40"/>
      <c r="P724" s="40"/>
      <c r="Q724" s="40"/>
      <c r="R724" s="39"/>
      <c r="S724" s="39"/>
    </row>
    <row r="725" customFormat="false" ht="15" hidden="false" customHeight="false" outlineLevel="0" collapsed="false">
      <c r="A725" s="38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40"/>
      <c r="P725" s="40"/>
      <c r="Q725" s="40"/>
      <c r="R725" s="39"/>
      <c r="S725" s="39"/>
    </row>
    <row r="726" customFormat="false" ht="15" hidden="false" customHeight="false" outlineLevel="0" collapsed="false">
      <c r="A726" s="38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40"/>
      <c r="P726" s="40"/>
      <c r="Q726" s="40"/>
      <c r="R726" s="39"/>
      <c r="S726" s="39"/>
    </row>
    <row r="727" customFormat="false" ht="15" hidden="false" customHeight="false" outlineLevel="0" collapsed="false">
      <c r="A727" s="38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40"/>
      <c r="P727" s="40"/>
      <c r="Q727" s="40"/>
      <c r="R727" s="39"/>
      <c r="S727" s="39"/>
    </row>
    <row r="728" customFormat="false" ht="15" hidden="false" customHeight="false" outlineLevel="0" collapsed="false">
      <c r="A728" s="38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40"/>
      <c r="P728" s="40"/>
      <c r="Q728" s="40"/>
      <c r="R728" s="39"/>
      <c r="S728" s="39"/>
    </row>
    <row r="729" customFormat="false" ht="15" hidden="false" customHeight="false" outlineLevel="0" collapsed="false">
      <c r="A729" s="38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40"/>
      <c r="P729" s="40"/>
      <c r="Q729" s="40"/>
      <c r="R729" s="39"/>
      <c r="S729" s="39"/>
    </row>
    <row r="730" customFormat="false" ht="15" hidden="false" customHeight="false" outlineLevel="0" collapsed="false">
      <c r="A730" s="38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40"/>
      <c r="P730" s="40"/>
      <c r="Q730" s="40"/>
      <c r="R730" s="39"/>
      <c r="S730" s="39"/>
    </row>
    <row r="731" customFormat="false" ht="15" hidden="false" customHeight="false" outlineLevel="0" collapsed="false">
      <c r="A731" s="38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40"/>
      <c r="P731" s="40"/>
      <c r="Q731" s="40"/>
      <c r="R731" s="39"/>
      <c r="S731" s="39"/>
    </row>
    <row r="732" customFormat="false" ht="15" hidden="false" customHeight="false" outlineLevel="0" collapsed="false">
      <c r="A732" s="38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40"/>
      <c r="P732" s="40"/>
      <c r="Q732" s="40"/>
      <c r="R732" s="39"/>
      <c r="S732" s="39"/>
    </row>
    <row r="733" customFormat="false" ht="15" hidden="false" customHeight="false" outlineLevel="0" collapsed="false">
      <c r="A733" s="38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40"/>
      <c r="P733" s="40"/>
      <c r="Q733" s="40"/>
      <c r="R733" s="39"/>
      <c r="S733" s="39"/>
    </row>
    <row r="734" customFormat="false" ht="15" hidden="false" customHeight="false" outlineLevel="0" collapsed="false">
      <c r="A734" s="38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40"/>
      <c r="P734" s="40"/>
      <c r="Q734" s="40"/>
      <c r="R734" s="39"/>
      <c r="S734" s="39"/>
    </row>
    <row r="735" customFormat="false" ht="15" hidden="false" customHeight="false" outlineLevel="0" collapsed="false">
      <c r="A735" s="38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40"/>
      <c r="P735" s="40"/>
      <c r="Q735" s="40"/>
      <c r="R735" s="39"/>
      <c r="S735" s="39"/>
    </row>
    <row r="736" customFormat="false" ht="15" hidden="false" customHeight="false" outlineLevel="0" collapsed="false">
      <c r="A736" s="38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40"/>
      <c r="P736" s="40"/>
      <c r="Q736" s="40"/>
      <c r="R736" s="39"/>
      <c r="S736" s="39"/>
    </row>
    <row r="737" customFormat="false" ht="15" hidden="false" customHeight="false" outlineLevel="0" collapsed="false">
      <c r="A737" s="38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40"/>
      <c r="P737" s="40"/>
      <c r="Q737" s="40"/>
      <c r="R737" s="39"/>
      <c r="S737" s="39"/>
    </row>
    <row r="738" customFormat="false" ht="15" hidden="false" customHeight="false" outlineLevel="0" collapsed="false">
      <c r="A738" s="38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40"/>
      <c r="P738" s="40"/>
      <c r="Q738" s="40"/>
      <c r="R738" s="39"/>
      <c r="S738" s="39"/>
    </row>
    <row r="739" customFormat="false" ht="15" hidden="false" customHeight="false" outlineLevel="0" collapsed="false">
      <c r="A739" s="38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40"/>
      <c r="P739" s="40"/>
      <c r="Q739" s="40"/>
      <c r="R739" s="39"/>
      <c r="S739" s="39"/>
    </row>
    <row r="740" customFormat="false" ht="15" hidden="false" customHeight="false" outlineLevel="0" collapsed="false">
      <c r="A740" s="38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40"/>
      <c r="P740" s="40"/>
      <c r="Q740" s="40"/>
      <c r="R740" s="39"/>
      <c r="S740" s="39"/>
    </row>
    <row r="741" customFormat="false" ht="15" hidden="false" customHeight="false" outlineLevel="0" collapsed="false">
      <c r="A741" s="38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40"/>
      <c r="P741" s="40"/>
      <c r="Q741" s="40"/>
      <c r="R741" s="39"/>
      <c r="S741" s="39"/>
    </row>
    <row r="742" customFormat="false" ht="15" hidden="false" customHeight="false" outlineLevel="0" collapsed="false">
      <c r="A742" s="38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40"/>
      <c r="P742" s="40"/>
      <c r="Q742" s="40"/>
      <c r="R742" s="39"/>
      <c r="S742" s="39"/>
    </row>
    <row r="743" customFormat="false" ht="15" hidden="false" customHeight="false" outlineLevel="0" collapsed="false">
      <c r="A743" s="38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40"/>
      <c r="P743" s="40"/>
      <c r="Q743" s="40"/>
      <c r="R743" s="39"/>
      <c r="S743" s="39"/>
    </row>
    <row r="744" customFormat="false" ht="15" hidden="false" customHeight="false" outlineLevel="0" collapsed="false">
      <c r="A744" s="38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40"/>
      <c r="P744" s="40"/>
      <c r="Q744" s="40"/>
      <c r="R744" s="39"/>
      <c r="S744" s="39"/>
    </row>
    <row r="745" customFormat="false" ht="15" hidden="false" customHeight="false" outlineLevel="0" collapsed="false">
      <c r="A745" s="38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40"/>
      <c r="P745" s="40"/>
      <c r="Q745" s="40"/>
      <c r="R745" s="39"/>
      <c r="S745" s="39"/>
    </row>
    <row r="746" customFormat="false" ht="15" hidden="false" customHeight="false" outlineLevel="0" collapsed="false">
      <c r="A746" s="38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40"/>
      <c r="P746" s="40"/>
      <c r="Q746" s="40"/>
      <c r="R746" s="39"/>
      <c r="S746" s="39"/>
    </row>
    <row r="747" customFormat="false" ht="15" hidden="false" customHeight="false" outlineLevel="0" collapsed="false">
      <c r="A747" s="38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40"/>
      <c r="P747" s="40"/>
      <c r="Q747" s="40"/>
      <c r="R747" s="39"/>
      <c r="S747" s="39"/>
    </row>
    <row r="748" customFormat="false" ht="15" hidden="false" customHeight="false" outlineLevel="0" collapsed="false">
      <c r="A748" s="38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40"/>
      <c r="P748" s="40"/>
      <c r="Q748" s="40"/>
      <c r="R748" s="39"/>
      <c r="S748" s="39"/>
    </row>
    <row r="749" customFormat="false" ht="15" hidden="false" customHeight="false" outlineLevel="0" collapsed="false">
      <c r="A749" s="38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40"/>
      <c r="P749" s="40"/>
      <c r="Q749" s="40"/>
      <c r="R749" s="39"/>
      <c r="S749" s="39"/>
    </row>
    <row r="750" customFormat="false" ht="15" hidden="false" customHeight="false" outlineLevel="0" collapsed="false">
      <c r="A750" s="38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40"/>
      <c r="P750" s="40"/>
      <c r="Q750" s="40"/>
      <c r="R750" s="39"/>
      <c r="S750" s="39"/>
    </row>
    <row r="751" customFormat="false" ht="15" hidden="false" customHeight="false" outlineLevel="0" collapsed="false">
      <c r="A751" s="38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40"/>
      <c r="P751" s="40"/>
      <c r="Q751" s="40"/>
      <c r="R751" s="39"/>
      <c r="S751" s="39"/>
    </row>
    <row r="752" customFormat="false" ht="15" hidden="false" customHeight="false" outlineLevel="0" collapsed="false">
      <c r="A752" s="38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40"/>
      <c r="P752" s="40"/>
      <c r="Q752" s="40"/>
      <c r="R752" s="39"/>
      <c r="S752" s="39"/>
    </row>
    <row r="753" customFormat="false" ht="15" hidden="false" customHeight="false" outlineLevel="0" collapsed="false">
      <c r="A753" s="38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40"/>
      <c r="P753" s="40"/>
      <c r="Q753" s="40"/>
      <c r="R753" s="39"/>
      <c r="S753" s="39"/>
    </row>
    <row r="754" customFormat="false" ht="15" hidden="false" customHeight="false" outlineLevel="0" collapsed="false">
      <c r="A754" s="38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40"/>
      <c r="P754" s="40"/>
      <c r="Q754" s="40"/>
      <c r="R754" s="39"/>
      <c r="S754" s="39"/>
    </row>
    <row r="755" customFormat="false" ht="15" hidden="false" customHeight="false" outlineLevel="0" collapsed="false">
      <c r="A755" s="38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40"/>
      <c r="P755" s="40"/>
      <c r="Q755" s="40"/>
      <c r="R755" s="39"/>
      <c r="S755" s="39"/>
    </row>
    <row r="756" customFormat="false" ht="15" hidden="false" customHeight="false" outlineLevel="0" collapsed="false">
      <c r="A756" s="38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40"/>
      <c r="P756" s="40"/>
      <c r="Q756" s="40"/>
      <c r="R756" s="39"/>
      <c r="S756" s="39"/>
    </row>
    <row r="757" customFormat="false" ht="15" hidden="false" customHeight="false" outlineLevel="0" collapsed="false">
      <c r="A757" s="38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40"/>
      <c r="P757" s="40"/>
      <c r="Q757" s="40"/>
      <c r="R757" s="39"/>
      <c r="S757" s="39"/>
    </row>
    <row r="758" customFormat="false" ht="15" hidden="false" customHeight="false" outlineLevel="0" collapsed="false">
      <c r="A758" s="38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40"/>
      <c r="P758" s="40"/>
      <c r="Q758" s="40"/>
      <c r="R758" s="39"/>
      <c r="S758" s="39"/>
    </row>
    <row r="759" customFormat="false" ht="15" hidden="false" customHeight="false" outlineLevel="0" collapsed="false">
      <c r="A759" s="38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40"/>
      <c r="P759" s="40"/>
      <c r="Q759" s="40"/>
      <c r="R759" s="39"/>
      <c r="S759" s="39"/>
    </row>
    <row r="760" customFormat="false" ht="15" hidden="false" customHeight="false" outlineLevel="0" collapsed="false">
      <c r="A760" s="38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40"/>
      <c r="P760" s="40"/>
      <c r="Q760" s="40"/>
      <c r="R760" s="39"/>
      <c r="S760" s="39"/>
    </row>
    <row r="761" customFormat="false" ht="15" hidden="false" customHeight="false" outlineLevel="0" collapsed="false">
      <c r="A761" s="38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40"/>
      <c r="P761" s="40"/>
      <c r="Q761" s="40"/>
      <c r="R761" s="39"/>
      <c r="S761" s="39"/>
    </row>
    <row r="762" customFormat="false" ht="15" hidden="false" customHeight="false" outlineLevel="0" collapsed="false">
      <c r="A762" s="38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40"/>
      <c r="P762" s="40"/>
      <c r="Q762" s="40"/>
      <c r="R762" s="39"/>
      <c r="S762" s="39"/>
    </row>
    <row r="763" customFormat="false" ht="15" hidden="false" customHeight="false" outlineLevel="0" collapsed="false">
      <c r="A763" s="38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40"/>
      <c r="P763" s="40"/>
      <c r="Q763" s="40"/>
      <c r="R763" s="39"/>
      <c r="S763" s="39"/>
    </row>
    <row r="764" customFormat="false" ht="15" hidden="false" customHeight="false" outlineLevel="0" collapsed="false">
      <c r="A764" s="38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40"/>
      <c r="P764" s="40"/>
      <c r="Q764" s="40"/>
      <c r="R764" s="39"/>
      <c r="S764" s="39"/>
    </row>
    <row r="765" customFormat="false" ht="15" hidden="false" customHeight="false" outlineLevel="0" collapsed="false">
      <c r="A765" s="38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40"/>
      <c r="P765" s="40"/>
      <c r="Q765" s="40"/>
      <c r="R765" s="39"/>
      <c r="S765" s="39"/>
    </row>
    <row r="766" customFormat="false" ht="15" hidden="false" customHeight="false" outlineLevel="0" collapsed="false">
      <c r="A766" s="38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40"/>
      <c r="P766" s="40"/>
      <c r="Q766" s="40"/>
      <c r="R766" s="39"/>
      <c r="S766" s="39"/>
    </row>
    <row r="767" customFormat="false" ht="15" hidden="false" customHeight="false" outlineLevel="0" collapsed="false">
      <c r="A767" s="38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40"/>
      <c r="P767" s="40"/>
      <c r="Q767" s="40"/>
      <c r="R767" s="39"/>
      <c r="S767" s="39"/>
    </row>
    <row r="768" customFormat="false" ht="15" hidden="false" customHeight="false" outlineLevel="0" collapsed="false">
      <c r="A768" s="38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40"/>
      <c r="P768" s="40"/>
      <c r="Q768" s="40"/>
      <c r="R768" s="39"/>
      <c r="S768" s="39"/>
    </row>
    <row r="769" customFormat="false" ht="15" hidden="false" customHeight="false" outlineLevel="0" collapsed="false">
      <c r="A769" s="38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40"/>
      <c r="P769" s="40"/>
      <c r="Q769" s="40"/>
      <c r="R769" s="39"/>
      <c r="S769" s="39"/>
    </row>
    <row r="770" customFormat="false" ht="15" hidden="false" customHeight="false" outlineLevel="0" collapsed="false">
      <c r="A770" s="38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40"/>
      <c r="P770" s="40"/>
      <c r="Q770" s="40"/>
      <c r="R770" s="39"/>
      <c r="S770" s="39"/>
    </row>
    <row r="771" customFormat="false" ht="15" hidden="false" customHeight="false" outlineLevel="0" collapsed="false">
      <c r="A771" s="38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40"/>
      <c r="P771" s="40"/>
      <c r="Q771" s="40"/>
      <c r="R771" s="39"/>
      <c r="S771" s="39"/>
    </row>
    <row r="772" customFormat="false" ht="15" hidden="false" customHeight="false" outlineLevel="0" collapsed="false">
      <c r="A772" s="38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40"/>
      <c r="P772" s="40"/>
      <c r="Q772" s="40"/>
      <c r="R772" s="39"/>
      <c r="S772" s="39"/>
    </row>
    <row r="773" customFormat="false" ht="15" hidden="false" customHeight="false" outlineLevel="0" collapsed="false">
      <c r="A773" s="38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40"/>
      <c r="P773" s="40"/>
      <c r="Q773" s="40"/>
      <c r="R773" s="39"/>
      <c r="S773" s="39"/>
    </row>
    <row r="774" customFormat="false" ht="15" hidden="false" customHeight="false" outlineLevel="0" collapsed="false">
      <c r="A774" s="38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40"/>
      <c r="P774" s="40"/>
      <c r="Q774" s="40"/>
      <c r="R774" s="39"/>
      <c r="S774" s="39"/>
    </row>
    <row r="775" customFormat="false" ht="15" hidden="false" customHeight="false" outlineLevel="0" collapsed="false">
      <c r="A775" s="38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40"/>
      <c r="P775" s="40"/>
      <c r="Q775" s="40"/>
      <c r="R775" s="39"/>
      <c r="S775" s="39"/>
    </row>
    <row r="776" customFormat="false" ht="15" hidden="false" customHeight="false" outlineLevel="0" collapsed="false">
      <c r="A776" s="38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40"/>
      <c r="P776" s="40"/>
      <c r="Q776" s="40"/>
      <c r="R776" s="39"/>
      <c r="S776" s="39"/>
    </row>
    <row r="777" customFormat="false" ht="15" hidden="false" customHeight="false" outlineLevel="0" collapsed="false">
      <c r="A777" s="38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40"/>
      <c r="P777" s="40"/>
      <c r="Q777" s="40"/>
      <c r="R777" s="39"/>
      <c r="S777" s="39"/>
    </row>
    <row r="778" customFormat="false" ht="15" hidden="false" customHeight="false" outlineLevel="0" collapsed="false">
      <c r="A778" s="38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40"/>
      <c r="P778" s="40"/>
      <c r="Q778" s="40"/>
      <c r="R778" s="39"/>
      <c r="S778" s="39"/>
    </row>
    <row r="779" customFormat="false" ht="15" hidden="false" customHeight="false" outlineLevel="0" collapsed="false">
      <c r="A779" s="38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40"/>
      <c r="P779" s="40"/>
      <c r="Q779" s="40"/>
      <c r="R779" s="39"/>
      <c r="S779" s="39"/>
    </row>
    <row r="780" customFormat="false" ht="15" hidden="false" customHeight="false" outlineLevel="0" collapsed="false">
      <c r="A780" s="38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40"/>
      <c r="P780" s="40"/>
      <c r="Q780" s="40"/>
      <c r="R780" s="39"/>
      <c r="S780" s="39"/>
    </row>
    <row r="781" customFormat="false" ht="15" hidden="false" customHeight="false" outlineLevel="0" collapsed="false">
      <c r="A781" s="38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40"/>
      <c r="P781" s="40"/>
      <c r="Q781" s="40"/>
      <c r="R781" s="39"/>
      <c r="S781" s="39"/>
    </row>
    <row r="782" customFormat="false" ht="15" hidden="false" customHeight="false" outlineLevel="0" collapsed="false">
      <c r="A782" s="38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40"/>
      <c r="P782" s="40"/>
      <c r="Q782" s="40"/>
      <c r="R782" s="39"/>
      <c r="S782" s="39"/>
    </row>
    <row r="783" customFormat="false" ht="15" hidden="false" customHeight="false" outlineLevel="0" collapsed="false">
      <c r="A783" s="38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40"/>
      <c r="P783" s="40"/>
      <c r="Q783" s="40"/>
      <c r="R783" s="39"/>
      <c r="S783" s="39"/>
    </row>
    <row r="784" customFormat="false" ht="15" hidden="false" customHeight="false" outlineLevel="0" collapsed="false">
      <c r="A784" s="38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40"/>
      <c r="P784" s="40"/>
      <c r="Q784" s="40"/>
      <c r="R784" s="39"/>
      <c r="S784" s="39"/>
    </row>
    <row r="785" customFormat="false" ht="15" hidden="false" customHeight="false" outlineLevel="0" collapsed="false">
      <c r="A785" s="38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40"/>
      <c r="P785" s="40"/>
      <c r="Q785" s="40"/>
      <c r="R785" s="39"/>
      <c r="S785" s="39"/>
    </row>
    <row r="786" customFormat="false" ht="15" hidden="false" customHeight="false" outlineLevel="0" collapsed="false">
      <c r="A786" s="38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40"/>
      <c r="P786" s="40"/>
      <c r="Q786" s="40"/>
      <c r="R786" s="39"/>
      <c r="S786" s="39"/>
    </row>
    <row r="787" customFormat="false" ht="15" hidden="false" customHeight="false" outlineLevel="0" collapsed="false">
      <c r="A787" s="38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40"/>
      <c r="P787" s="40"/>
      <c r="Q787" s="40"/>
      <c r="R787" s="39"/>
      <c r="S787" s="39"/>
    </row>
    <row r="788" customFormat="false" ht="15" hidden="false" customHeight="false" outlineLevel="0" collapsed="false">
      <c r="A788" s="38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40"/>
      <c r="P788" s="40"/>
      <c r="Q788" s="40"/>
      <c r="R788" s="39"/>
      <c r="S788" s="39"/>
    </row>
    <row r="789" customFormat="false" ht="15" hidden="false" customHeight="false" outlineLevel="0" collapsed="false">
      <c r="A789" s="38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40"/>
      <c r="P789" s="40"/>
      <c r="Q789" s="40"/>
      <c r="R789" s="39"/>
      <c r="S789" s="39"/>
    </row>
    <row r="790" customFormat="false" ht="15" hidden="false" customHeight="false" outlineLevel="0" collapsed="false">
      <c r="A790" s="38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40"/>
      <c r="P790" s="40"/>
      <c r="Q790" s="40"/>
      <c r="R790" s="39"/>
      <c r="S790" s="39"/>
    </row>
    <row r="791" customFormat="false" ht="15" hidden="false" customHeight="false" outlineLevel="0" collapsed="false">
      <c r="A791" s="38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40"/>
      <c r="P791" s="40"/>
      <c r="Q791" s="40"/>
      <c r="R791" s="39"/>
      <c r="S791" s="39"/>
    </row>
    <row r="792" customFormat="false" ht="15" hidden="false" customHeight="false" outlineLevel="0" collapsed="false">
      <c r="A792" s="38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40"/>
      <c r="P792" s="40"/>
      <c r="Q792" s="40"/>
      <c r="R792" s="39"/>
      <c r="S792" s="39"/>
    </row>
    <row r="793" customFormat="false" ht="15" hidden="false" customHeight="false" outlineLevel="0" collapsed="false">
      <c r="A793" s="38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40"/>
      <c r="P793" s="40"/>
      <c r="Q793" s="40"/>
      <c r="R793" s="39"/>
      <c r="S793" s="39"/>
    </row>
    <row r="794" customFormat="false" ht="15" hidden="false" customHeight="false" outlineLevel="0" collapsed="false">
      <c r="A794" s="38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40"/>
      <c r="P794" s="40"/>
      <c r="Q794" s="40"/>
      <c r="R794" s="39"/>
      <c r="S794" s="39"/>
    </row>
    <row r="795" customFormat="false" ht="15" hidden="false" customHeight="false" outlineLevel="0" collapsed="false">
      <c r="A795" s="38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40"/>
      <c r="P795" s="40"/>
      <c r="Q795" s="40"/>
      <c r="R795" s="39"/>
      <c r="S795" s="39"/>
    </row>
    <row r="796" customFormat="false" ht="15" hidden="false" customHeight="false" outlineLevel="0" collapsed="false">
      <c r="A796" s="38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40"/>
      <c r="P796" s="40"/>
      <c r="Q796" s="40"/>
      <c r="R796" s="39"/>
      <c r="S796" s="39"/>
    </row>
    <row r="797" customFormat="false" ht="15" hidden="false" customHeight="false" outlineLevel="0" collapsed="false">
      <c r="A797" s="38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40"/>
      <c r="P797" s="40"/>
      <c r="Q797" s="40"/>
      <c r="R797" s="39"/>
      <c r="S797" s="39"/>
    </row>
    <row r="798" customFormat="false" ht="15" hidden="false" customHeight="false" outlineLevel="0" collapsed="false">
      <c r="A798" s="38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40"/>
      <c r="P798" s="40"/>
      <c r="Q798" s="40"/>
      <c r="R798" s="39"/>
      <c r="S798" s="39"/>
    </row>
    <row r="799" customFormat="false" ht="15" hidden="false" customHeight="false" outlineLevel="0" collapsed="false">
      <c r="A799" s="38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40"/>
      <c r="P799" s="40"/>
      <c r="Q799" s="40"/>
      <c r="R799" s="39"/>
      <c r="S799" s="39"/>
    </row>
    <row r="800" customFormat="false" ht="15" hidden="false" customHeight="false" outlineLevel="0" collapsed="false">
      <c r="A800" s="38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40"/>
      <c r="P800" s="40"/>
      <c r="Q800" s="40"/>
      <c r="R800" s="39"/>
      <c r="S800" s="39"/>
    </row>
    <row r="801" customFormat="false" ht="15" hidden="false" customHeight="false" outlineLevel="0" collapsed="false">
      <c r="A801" s="38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40"/>
      <c r="P801" s="40"/>
      <c r="Q801" s="40"/>
      <c r="R801" s="39"/>
      <c r="S801" s="39"/>
    </row>
    <row r="802" customFormat="false" ht="15" hidden="false" customHeight="false" outlineLevel="0" collapsed="false">
      <c r="A802" s="38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40"/>
      <c r="P802" s="40"/>
      <c r="Q802" s="40"/>
      <c r="R802" s="39"/>
      <c r="S802" s="39"/>
    </row>
    <row r="803" customFormat="false" ht="15" hidden="false" customHeight="false" outlineLevel="0" collapsed="false">
      <c r="A803" s="38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40"/>
      <c r="P803" s="40"/>
      <c r="Q803" s="40"/>
      <c r="R803" s="39"/>
      <c r="S803" s="39"/>
    </row>
    <row r="804" customFormat="false" ht="15" hidden="false" customHeight="false" outlineLevel="0" collapsed="false">
      <c r="A804" s="38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40"/>
      <c r="P804" s="40"/>
      <c r="Q804" s="40"/>
      <c r="R804" s="39"/>
      <c r="S804" s="39"/>
    </row>
  </sheetData>
  <autoFilter ref="A4:T804"/>
  <conditionalFormatting sqref="M5:M804">
    <cfRule type="cellIs" priority="2" operator="equal" aboveAverage="0" equalAverage="0" bottom="0" percent="0" rank="0" text="" dxfId="6">
      <formula>"PRESO"</formula>
    </cfRule>
    <cfRule type="cellIs" priority="3" operator="equal" aboveAverage="0" equalAverage="0" bottom="0" percent="0" rank="0" text="" dxfId="5">
      <formula>"NON PRESO"</formula>
    </cfRule>
    <cfRule type="cellIs" priority="4" operator="equal" aboveAverage="0" equalAverage="0" bottom="0" percent="0" rank="0" text="" dxfId="10">
      <formula>"DA RICONTATTARE"</formula>
    </cfRule>
    <cfRule type="cellIs" priority="5" operator="equal" aboveAverage="0" equalAverage="0" bottom="0" percent="0" rank="0" text="" dxfId="10">
      <formula>"DA VERIFICARE"</formula>
    </cfRule>
  </conditionalFormatting>
  <dataValidations count="7">
    <dataValidation allowBlank="true" errorStyle="stop" operator="between" showDropDown="false" showErrorMessage="false" showInputMessage="false" sqref="B5:B804" type="list">
      <formula1>Liste!$A$1:$A$11</formula1>
      <formula2>0</formula2>
    </dataValidation>
    <dataValidation allowBlank="true" errorStyle="stop" operator="between" showDropDown="false" showErrorMessage="false" showInputMessage="false" sqref="E5:E804" type="list">
      <formula1>Liste!$B$1:$B$8</formula1>
      <formula2>0</formula2>
    </dataValidation>
    <dataValidation allowBlank="true" errorStyle="stop" operator="between" showDropDown="false" showErrorMessage="false" showInputMessage="false" sqref="I5:I804" type="list">
      <formula1>Liste!$E$1:$E$8</formula1>
      <formula2>0</formula2>
    </dataValidation>
    <dataValidation allowBlank="true" errorStyle="stop" operator="between" showDropDown="false" showErrorMessage="false" showInputMessage="false" sqref="J5:J804" type="list">
      <formula1>Liste!$C$1:$C$8</formula1>
      <formula2>0</formula2>
    </dataValidation>
    <dataValidation allowBlank="true" errorStyle="stop" operator="between" showDropDown="false" showErrorMessage="false" showInputMessage="false" sqref="K5:K804" type="list">
      <formula1>'Servizi e obblighi'!$C$5:$C$27</formula1>
      <formula2>0</formula2>
    </dataValidation>
    <dataValidation allowBlank="true" errorStyle="stop" operator="between" showDropDown="false" showErrorMessage="false" showInputMessage="false" sqref="M5:M804" type="list">
      <formula1>Liste!$D$1:$D$5</formula1>
      <formula2>0</formula2>
    </dataValidation>
    <dataValidation allowBlank="true" errorStyle="stop" operator="between" showDropDown="false" showErrorMessage="false" showInputMessage="false" sqref="N5:N804" type="list">
      <formula1>Motivi!$A$5:$A$36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6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38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1894</v>
      </c>
    </row>
    <row r="2" customFormat="false" ht="15" hidden="false" customHeight="false" outlineLevel="0" collapsed="false">
      <c r="A2" s="2" t="s">
        <v>1895</v>
      </c>
    </row>
    <row r="4" customFormat="false" ht="23.85" hidden="false" customHeight="false" outlineLevel="0" collapsed="false">
      <c r="A4" s="19" t="s">
        <v>153</v>
      </c>
      <c r="B4" s="19" t="s">
        <v>71</v>
      </c>
      <c r="C4" s="19" t="s">
        <v>81</v>
      </c>
      <c r="D4" s="19" t="s">
        <v>1896</v>
      </c>
      <c r="E4" s="19" t="s">
        <v>1897</v>
      </c>
      <c r="F4" s="19" t="s">
        <v>1898</v>
      </c>
      <c r="G4" s="19" t="s">
        <v>1899</v>
      </c>
      <c r="H4" s="19" t="s">
        <v>1900</v>
      </c>
      <c r="I4" s="19" t="s">
        <v>1901</v>
      </c>
      <c r="J4" s="19" t="s">
        <v>1902</v>
      </c>
      <c r="K4" s="19" t="s">
        <v>1903</v>
      </c>
    </row>
    <row r="5" customFormat="false" ht="53.7" hidden="false" customHeight="false" outlineLevel="0" collapsed="false">
      <c r="A5" s="5" t="n">
        <v>1</v>
      </c>
      <c r="B5" s="21" t="s">
        <v>72</v>
      </c>
      <c r="C5" s="4" t="s">
        <v>82</v>
      </c>
      <c r="D5" s="5" t="s">
        <v>1904</v>
      </c>
      <c r="E5" s="5" t="s">
        <v>1905</v>
      </c>
      <c r="F5" s="5" t="s">
        <v>1906</v>
      </c>
      <c r="G5" s="5" t="s">
        <v>1907</v>
      </c>
      <c r="H5" s="5" t="s">
        <v>1908</v>
      </c>
      <c r="I5" s="5" t="s">
        <v>1909</v>
      </c>
      <c r="J5" s="5" t="s">
        <v>1910</v>
      </c>
      <c r="K5" s="41" t="s">
        <v>1911</v>
      </c>
    </row>
    <row r="6" customFormat="false" ht="32.8" hidden="false" customHeight="false" outlineLevel="0" collapsed="false">
      <c r="A6" s="5" t="n">
        <v>2</v>
      </c>
      <c r="B6" s="21" t="s">
        <v>72</v>
      </c>
      <c r="C6" s="4" t="s">
        <v>83</v>
      </c>
      <c r="D6" s="5" t="s">
        <v>1912</v>
      </c>
      <c r="E6" s="5" t="s">
        <v>1913</v>
      </c>
      <c r="F6" s="5" t="s">
        <v>1914</v>
      </c>
      <c r="G6" s="5" t="s">
        <v>1915</v>
      </c>
      <c r="H6" s="5" t="s">
        <v>1916</v>
      </c>
      <c r="I6" s="5" t="s">
        <v>1917</v>
      </c>
      <c r="J6" s="5" t="s">
        <v>1918</v>
      </c>
      <c r="K6" s="41"/>
    </row>
    <row r="7" customFormat="false" ht="22.35" hidden="false" customHeight="false" outlineLevel="0" collapsed="false">
      <c r="A7" s="5" t="n">
        <v>3</v>
      </c>
      <c r="B7" s="21" t="s">
        <v>72</v>
      </c>
      <c r="C7" s="4" t="s">
        <v>84</v>
      </c>
      <c r="D7" s="5" t="s">
        <v>1919</v>
      </c>
      <c r="E7" s="5" t="s">
        <v>1920</v>
      </c>
      <c r="F7" s="5" t="s">
        <v>1921</v>
      </c>
      <c r="G7" s="5" t="s">
        <v>1922</v>
      </c>
      <c r="H7" s="5" t="s">
        <v>1923</v>
      </c>
      <c r="I7" s="5" t="s">
        <v>201</v>
      </c>
      <c r="J7" s="5" t="s">
        <v>1924</v>
      </c>
      <c r="K7" s="41"/>
    </row>
    <row r="8" customFormat="false" ht="32.8" hidden="false" customHeight="false" outlineLevel="0" collapsed="false">
      <c r="A8" s="5" t="n">
        <v>4</v>
      </c>
      <c r="B8" s="21" t="s">
        <v>72</v>
      </c>
      <c r="C8" s="4" t="s">
        <v>85</v>
      </c>
      <c r="D8" s="5" t="s">
        <v>1925</v>
      </c>
      <c r="E8" s="5" t="s">
        <v>1926</v>
      </c>
      <c r="F8" s="5" t="s">
        <v>1927</v>
      </c>
      <c r="G8" s="5" t="s">
        <v>1928</v>
      </c>
      <c r="H8" s="5" t="s">
        <v>1929</v>
      </c>
      <c r="I8" s="5" t="s">
        <v>201</v>
      </c>
      <c r="J8" s="5" t="s">
        <v>1930</v>
      </c>
      <c r="K8" s="41"/>
    </row>
    <row r="9" customFormat="false" ht="43.25" hidden="false" customHeight="false" outlineLevel="0" collapsed="false">
      <c r="A9" s="5" t="n">
        <v>5</v>
      </c>
      <c r="B9" s="21" t="s">
        <v>72</v>
      </c>
      <c r="C9" s="4" t="s">
        <v>86</v>
      </c>
      <c r="D9" s="5" t="s">
        <v>1931</v>
      </c>
      <c r="E9" s="5" t="s">
        <v>1932</v>
      </c>
      <c r="F9" s="5" t="s">
        <v>1933</v>
      </c>
      <c r="G9" s="5" t="s">
        <v>1934</v>
      </c>
      <c r="H9" s="5" t="s">
        <v>1935</v>
      </c>
      <c r="I9" s="5" t="s">
        <v>1936</v>
      </c>
      <c r="J9" s="5" t="s">
        <v>1937</v>
      </c>
      <c r="K9" s="41" t="s">
        <v>1938</v>
      </c>
    </row>
    <row r="10" customFormat="false" ht="64.15" hidden="false" customHeight="false" outlineLevel="0" collapsed="false">
      <c r="A10" s="5" t="n">
        <v>6</v>
      </c>
      <c r="B10" s="21" t="s">
        <v>73</v>
      </c>
      <c r="C10" s="4" t="s">
        <v>87</v>
      </c>
      <c r="D10" s="5" t="s">
        <v>1939</v>
      </c>
      <c r="E10" s="5" t="s">
        <v>1940</v>
      </c>
      <c r="F10" s="5" t="s">
        <v>1941</v>
      </c>
      <c r="G10" s="5" t="s">
        <v>1942</v>
      </c>
      <c r="H10" s="5" t="s">
        <v>1943</v>
      </c>
      <c r="I10" s="5" t="s">
        <v>1944</v>
      </c>
      <c r="J10" s="5" t="s">
        <v>1945</v>
      </c>
      <c r="K10" s="41" t="s">
        <v>1946</v>
      </c>
    </row>
    <row r="11" customFormat="false" ht="53.7" hidden="false" customHeight="false" outlineLevel="0" collapsed="false">
      <c r="A11" s="5" t="n">
        <v>7</v>
      </c>
      <c r="B11" s="21" t="s">
        <v>73</v>
      </c>
      <c r="C11" s="4" t="s">
        <v>88</v>
      </c>
      <c r="D11" s="5" t="s">
        <v>1947</v>
      </c>
      <c r="E11" s="5" t="s">
        <v>1948</v>
      </c>
      <c r="F11" s="5" t="s">
        <v>1949</v>
      </c>
      <c r="G11" s="5" t="s">
        <v>1950</v>
      </c>
      <c r="H11" s="5" t="s">
        <v>1951</v>
      </c>
      <c r="I11" s="5" t="s">
        <v>1952</v>
      </c>
      <c r="J11" s="5" t="s">
        <v>1953</v>
      </c>
      <c r="K11" s="41" t="s">
        <v>1911</v>
      </c>
    </row>
    <row r="12" customFormat="false" ht="43.25" hidden="false" customHeight="false" outlineLevel="0" collapsed="false">
      <c r="A12" s="5" t="n">
        <v>8</v>
      </c>
      <c r="B12" s="21" t="s">
        <v>73</v>
      </c>
      <c r="C12" s="4" t="s">
        <v>89</v>
      </c>
      <c r="D12" s="5" t="s">
        <v>1954</v>
      </c>
      <c r="E12" s="5" t="s">
        <v>1955</v>
      </c>
      <c r="F12" s="5" t="s">
        <v>1956</v>
      </c>
      <c r="G12" s="5" t="s">
        <v>1957</v>
      </c>
      <c r="H12" s="5" t="s">
        <v>1958</v>
      </c>
      <c r="I12" s="5" t="s">
        <v>1959</v>
      </c>
      <c r="J12" s="5" t="s">
        <v>1960</v>
      </c>
      <c r="K12" s="41" t="s">
        <v>1938</v>
      </c>
    </row>
    <row r="13" customFormat="false" ht="64.15" hidden="false" customHeight="false" outlineLevel="0" collapsed="false">
      <c r="A13" s="5" t="n">
        <v>9</v>
      </c>
      <c r="B13" s="21" t="s">
        <v>73</v>
      </c>
      <c r="C13" s="4" t="s">
        <v>90</v>
      </c>
      <c r="D13" s="5" t="s">
        <v>1961</v>
      </c>
      <c r="E13" s="5" t="s">
        <v>1962</v>
      </c>
      <c r="F13" s="5" t="s">
        <v>1963</v>
      </c>
      <c r="G13" s="5" t="s">
        <v>1964</v>
      </c>
      <c r="H13" s="5" t="s">
        <v>1923</v>
      </c>
      <c r="I13" s="5" t="s">
        <v>1965</v>
      </c>
      <c r="J13" s="5" t="s">
        <v>1966</v>
      </c>
      <c r="K13" s="41" t="s">
        <v>1967</v>
      </c>
    </row>
    <row r="14" customFormat="false" ht="32.8" hidden="false" customHeight="false" outlineLevel="0" collapsed="false">
      <c r="A14" s="5" t="n">
        <v>10</v>
      </c>
      <c r="B14" s="21" t="s">
        <v>73</v>
      </c>
      <c r="C14" s="4" t="s">
        <v>91</v>
      </c>
      <c r="D14" s="5" t="s">
        <v>1968</v>
      </c>
      <c r="E14" s="5" t="s">
        <v>1969</v>
      </c>
      <c r="F14" s="5" t="s">
        <v>1970</v>
      </c>
      <c r="G14" s="5" t="s">
        <v>1971</v>
      </c>
      <c r="H14" s="5" t="s">
        <v>1923</v>
      </c>
      <c r="I14" s="5" t="s">
        <v>201</v>
      </c>
      <c r="J14" s="5" t="s">
        <v>1972</v>
      </c>
      <c r="K14" s="41"/>
    </row>
    <row r="15" customFormat="false" ht="64.15" hidden="false" customHeight="false" outlineLevel="0" collapsed="false">
      <c r="A15" s="5" t="n">
        <v>11</v>
      </c>
      <c r="B15" s="21" t="s">
        <v>74</v>
      </c>
      <c r="C15" s="4" t="s">
        <v>92</v>
      </c>
      <c r="D15" s="5" t="s">
        <v>1973</v>
      </c>
      <c r="E15" s="5" t="s">
        <v>1974</v>
      </c>
      <c r="F15" s="5" t="s">
        <v>1975</v>
      </c>
      <c r="G15" s="5" t="s">
        <v>1976</v>
      </c>
      <c r="H15" s="5" t="s">
        <v>1977</v>
      </c>
      <c r="I15" s="5" t="s">
        <v>1978</v>
      </c>
      <c r="J15" s="5" t="s">
        <v>1979</v>
      </c>
      <c r="K15" s="41" t="s">
        <v>1980</v>
      </c>
    </row>
    <row r="16" customFormat="false" ht="53.7" hidden="false" customHeight="false" outlineLevel="0" collapsed="false">
      <c r="A16" s="5" t="n">
        <v>12</v>
      </c>
      <c r="B16" s="21" t="s">
        <v>74</v>
      </c>
      <c r="C16" s="4" t="s">
        <v>93</v>
      </c>
      <c r="D16" s="5" t="s">
        <v>1981</v>
      </c>
      <c r="E16" s="5" t="s">
        <v>1982</v>
      </c>
      <c r="F16" s="5" t="s">
        <v>1983</v>
      </c>
      <c r="G16" s="5" t="s">
        <v>1984</v>
      </c>
      <c r="H16" s="5" t="s">
        <v>1985</v>
      </c>
      <c r="I16" s="5" t="s">
        <v>1986</v>
      </c>
      <c r="J16" s="5" t="s">
        <v>1987</v>
      </c>
      <c r="K16" s="41" t="s">
        <v>1988</v>
      </c>
    </row>
    <row r="17" customFormat="false" ht="53.7" hidden="false" customHeight="false" outlineLevel="0" collapsed="false">
      <c r="A17" s="5" t="n">
        <v>13</v>
      </c>
      <c r="B17" s="21" t="s">
        <v>74</v>
      </c>
      <c r="C17" s="4" t="s">
        <v>94</v>
      </c>
      <c r="D17" s="5" t="s">
        <v>1989</v>
      </c>
      <c r="E17" s="5" t="s">
        <v>1990</v>
      </c>
      <c r="F17" s="5" t="s">
        <v>1991</v>
      </c>
      <c r="G17" s="5" t="s">
        <v>1992</v>
      </c>
      <c r="H17" s="5" t="s">
        <v>1993</v>
      </c>
      <c r="I17" s="5" t="s">
        <v>1994</v>
      </c>
      <c r="J17" s="5" t="s">
        <v>1995</v>
      </c>
      <c r="K17" s="41" t="s">
        <v>1911</v>
      </c>
    </row>
    <row r="18" customFormat="false" ht="53.7" hidden="false" customHeight="false" outlineLevel="0" collapsed="false">
      <c r="A18" s="5" t="n">
        <v>14</v>
      </c>
      <c r="B18" s="21" t="s">
        <v>75</v>
      </c>
      <c r="C18" s="4" t="s">
        <v>95</v>
      </c>
      <c r="D18" s="5" t="s">
        <v>1996</v>
      </c>
      <c r="E18" s="5" t="s">
        <v>1997</v>
      </c>
      <c r="F18" s="5" t="s">
        <v>1998</v>
      </c>
      <c r="G18" s="5" t="s">
        <v>1999</v>
      </c>
      <c r="H18" s="5" t="s">
        <v>2000</v>
      </c>
      <c r="I18" s="5" t="s">
        <v>2001</v>
      </c>
      <c r="J18" s="5" t="s">
        <v>2002</v>
      </c>
      <c r="K18" s="41"/>
    </row>
    <row r="19" customFormat="false" ht="32.8" hidden="false" customHeight="false" outlineLevel="0" collapsed="false">
      <c r="A19" s="5" t="n">
        <v>15</v>
      </c>
      <c r="B19" s="21" t="s">
        <v>75</v>
      </c>
      <c r="C19" s="4" t="s">
        <v>96</v>
      </c>
      <c r="D19" s="5" t="s">
        <v>2003</v>
      </c>
      <c r="E19" s="5" t="s">
        <v>2004</v>
      </c>
      <c r="F19" s="5" t="s">
        <v>2005</v>
      </c>
      <c r="G19" s="5" t="s">
        <v>2006</v>
      </c>
      <c r="H19" s="5" t="s">
        <v>2007</v>
      </c>
      <c r="I19" s="5" t="s">
        <v>201</v>
      </c>
      <c r="J19" s="5" t="s">
        <v>2008</v>
      </c>
      <c r="K19" s="41"/>
    </row>
    <row r="20" customFormat="false" ht="32.8" hidden="false" customHeight="false" outlineLevel="0" collapsed="false">
      <c r="A20" s="5" t="n">
        <v>16</v>
      </c>
      <c r="B20" s="21" t="s">
        <v>76</v>
      </c>
      <c r="C20" s="4" t="s">
        <v>97</v>
      </c>
      <c r="D20" s="5" t="s">
        <v>2009</v>
      </c>
      <c r="E20" s="5" t="s">
        <v>2010</v>
      </c>
      <c r="F20" s="5" t="s">
        <v>2011</v>
      </c>
      <c r="G20" s="5" t="s">
        <v>2012</v>
      </c>
      <c r="H20" s="5" t="s">
        <v>2013</v>
      </c>
      <c r="I20" s="5" t="s">
        <v>201</v>
      </c>
      <c r="J20" s="5" t="s">
        <v>2014</v>
      </c>
      <c r="K20" s="41"/>
    </row>
    <row r="21" customFormat="false" ht="32.8" hidden="false" customHeight="false" outlineLevel="0" collapsed="false">
      <c r="A21" s="5" t="n">
        <v>17</v>
      </c>
      <c r="B21" s="21" t="s">
        <v>76</v>
      </c>
      <c r="C21" s="4" t="s">
        <v>98</v>
      </c>
      <c r="D21" s="5" t="s">
        <v>2015</v>
      </c>
      <c r="E21" s="5" t="s">
        <v>2016</v>
      </c>
      <c r="F21" s="5" t="s">
        <v>2017</v>
      </c>
      <c r="G21" s="5" t="s">
        <v>2018</v>
      </c>
      <c r="H21" s="5" t="s">
        <v>2019</v>
      </c>
      <c r="I21" s="5" t="s">
        <v>201</v>
      </c>
      <c r="J21" s="5" t="s">
        <v>2020</v>
      </c>
      <c r="K21" s="41"/>
    </row>
    <row r="22" customFormat="false" ht="32.8" hidden="false" customHeight="false" outlineLevel="0" collapsed="false">
      <c r="A22" s="5" t="n">
        <v>18</v>
      </c>
      <c r="B22" s="21" t="s">
        <v>76</v>
      </c>
      <c r="C22" s="4" t="s">
        <v>99</v>
      </c>
      <c r="D22" s="5" t="s">
        <v>2021</v>
      </c>
      <c r="E22" s="5" t="s">
        <v>2022</v>
      </c>
      <c r="F22" s="5" t="s">
        <v>2023</v>
      </c>
      <c r="G22" s="5" t="s">
        <v>2024</v>
      </c>
      <c r="H22" s="5" t="s">
        <v>2025</v>
      </c>
      <c r="I22" s="5" t="s">
        <v>201</v>
      </c>
      <c r="J22" s="5" t="s">
        <v>2026</v>
      </c>
      <c r="K22" s="41"/>
    </row>
    <row r="23" customFormat="false" ht="32.8" hidden="false" customHeight="false" outlineLevel="0" collapsed="false">
      <c r="A23" s="5" t="n">
        <v>19</v>
      </c>
      <c r="B23" s="21" t="s">
        <v>76</v>
      </c>
      <c r="C23" s="4" t="s">
        <v>100</v>
      </c>
      <c r="D23" s="5" t="s">
        <v>2027</v>
      </c>
      <c r="E23" s="5" t="s">
        <v>201</v>
      </c>
      <c r="F23" s="5" t="s">
        <v>2028</v>
      </c>
      <c r="G23" s="5" t="s">
        <v>2029</v>
      </c>
      <c r="H23" s="5" t="s">
        <v>1923</v>
      </c>
      <c r="I23" s="5" t="s">
        <v>201</v>
      </c>
      <c r="J23" s="5" t="s">
        <v>2030</v>
      </c>
      <c r="K23" s="41"/>
    </row>
    <row r="24" customFormat="false" ht="22.35" hidden="false" customHeight="false" outlineLevel="0" collapsed="false">
      <c r="A24" s="5" t="n">
        <v>20</v>
      </c>
      <c r="B24" s="21" t="s">
        <v>76</v>
      </c>
      <c r="C24" s="4" t="s">
        <v>101</v>
      </c>
      <c r="D24" s="5" t="s">
        <v>2031</v>
      </c>
      <c r="E24" s="5" t="s">
        <v>2032</v>
      </c>
      <c r="F24" s="5" t="s">
        <v>2033</v>
      </c>
      <c r="G24" s="5" t="s">
        <v>2034</v>
      </c>
      <c r="H24" s="5" t="s">
        <v>2035</v>
      </c>
      <c r="I24" s="5" t="s">
        <v>201</v>
      </c>
      <c r="J24" s="5"/>
      <c r="K24" s="41"/>
    </row>
    <row r="25" customFormat="false" ht="53.7" hidden="false" customHeight="false" outlineLevel="0" collapsed="false">
      <c r="A25" s="5" t="n">
        <v>21</v>
      </c>
      <c r="B25" s="21" t="s">
        <v>77</v>
      </c>
      <c r="C25" s="4" t="s">
        <v>102</v>
      </c>
      <c r="D25" s="5" t="s">
        <v>2036</v>
      </c>
      <c r="E25" s="5" t="s">
        <v>2037</v>
      </c>
      <c r="F25" s="5" t="s">
        <v>2038</v>
      </c>
      <c r="G25" s="5" t="s">
        <v>2039</v>
      </c>
      <c r="H25" s="5" t="s">
        <v>2040</v>
      </c>
      <c r="I25" s="5" t="s">
        <v>2041</v>
      </c>
      <c r="J25" s="5" t="s">
        <v>2042</v>
      </c>
      <c r="K25" s="41" t="s">
        <v>1911</v>
      </c>
    </row>
    <row r="26" customFormat="false" ht="32.8" hidden="false" customHeight="false" outlineLevel="0" collapsed="false">
      <c r="A26" s="5" t="n">
        <v>22</v>
      </c>
      <c r="B26" s="21" t="s">
        <v>78</v>
      </c>
      <c r="C26" s="4" t="s">
        <v>103</v>
      </c>
      <c r="D26" s="5" t="s">
        <v>2043</v>
      </c>
      <c r="E26" s="5" t="s">
        <v>201</v>
      </c>
      <c r="F26" s="5" t="s">
        <v>2044</v>
      </c>
      <c r="G26" s="5" t="s">
        <v>2045</v>
      </c>
      <c r="H26" s="5" t="s">
        <v>201</v>
      </c>
      <c r="I26" s="5" t="s">
        <v>201</v>
      </c>
      <c r="J26" s="5" t="s">
        <v>2046</v>
      </c>
      <c r="K26" s="41"/>
    </row>
    <row r="27" customFormat="false" ht="43.25" hidden="false" customHeight="false" outlineLevel="0" collapsed="false">
      <c r="A27" s="5" t="n">
        <v>23</v>
      </c>
      <c r="B27" s="21" t="s">
        <v>78</v>
      </c>
      <c r="C27" s="4" t="s">
        <v>104</v>
      </c>
      <c r="D27" s="5" t="s">
        <v>2047</v>
      </c>
      <c r="E27" s="5" t="s">
        <v>201</v>
      </c>
      <c r="F27" s="5" t="s">
        <v>2048</v>
      </c>
      <c r="G27" s="5" t="s">
        <v>2049</v>
      </c>
      <c r="H27" s="5" t="s">
        <v>1923</v>
      </c>
      <c r="I27" s="5" t="s">
        <v>201</v>
      </c>
      <c r="J27" s="5" t="s">
        <v>2050</v>
      </c>
      <c r="K27" s="41"/>
    </row>
  </sheetData>
  <autoFilter ref="A4:K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44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2051</v>
      </c>
    </row>
    <row r="2" customFormat="false" ht="15" hidden="false" customHeight="false" outlineLevel="0" collapsed="false">
      <c r="A2" s="2" t="s">
        <v>2052</v>
      </c>
    </row>
    <row r="4" customFormat="false" ht="23.85" hidden="false" customHeight="false" outlineLevel="0" collapsed="false">
      <c r="A4" s="19" t="s">
        <v>2053</v>
      </c>
      <c r="B4" s="19" t="s">
        <v>2054</v>
      </c>
      <c r="C4" s="19" t="s">
        <v>2055</v>
      </c>
      <c r="D4" s="19" t="s">
        <v>2056</v>
      </c>
      <c r="E4" s="19" t="s">
        <v>2057</v>
      </c>
      <c r="F4" s="19" t="s">
        <v>2058</v>
      </c>
      <c r="G4" s="19" t="s">
        <v>2059</v>
      </c>
      <c r="H4" s="19" t="s">
        <v>2060</v>
      </c>
      <c r="I4" s="19" t="s">
        <v>2061</v>
      </c>
      <c r="J4" s="19" t="s">
        <v>2062</v>
      </c>
    </row>
    <row r="5" customFormat="false" ht="22.35" hidden="false" customHeight="false" outlineLevel="0" collapsed="false">
      <c r="A5" s="42" t="s">
        <v>125</v>
      </c>
      <c r="B5" s="5" t="s">
        <v>2063</v>
      </c>
      <c r="C5" s="5" t="s">
        <v>2064</v>
      </c>
      <c r="D5" s="43" t="n">
        <v>44665</v>
      </c>
      <c r="E5" s="43" t="n">
        <v>46491</v>
      </c>
      <c r="F5" s="44" t="n">
        <f aca="true">E5-TODAY()</f>
        <v>201</v>
      </c>
      <c r="G5" s="5" t="str">
        <f aca="true">IF(F5&lt;0,"SCADUTA",IF(F5&lt;=270,"RINNOVARE ORA",IF(D5&gt;TODAY(),"IN VIGORE DAL "&amp;TEXT(D5,"dd/mm/yyyy"),"VALIDA")))</f>
        <v>RINNOVARE ORA</v>
      </c>
      <c r="H5" s="5" t="s">
        <v>2065</v>
      </c>
      <c r="I5" s="5" t="s">
        <v>2066</v>
      </c>
      <c r="J5" s="5" t="s">
        <v>2067</v>
      </c>
    </row>
    <row r="6" customFormat="false" ht="22.35" hidden="false" customHeight="false" outlineLevel="0" collapsed="false">
      <c r="A6" s="42" t="s">
        <v>126</v>
      </c>
      <c r="B6" s="5" t="s">
        <v>2068</v>
      </c>
      <c r="C6" s="5" t="s">
        <v>2069</v>
      </c>
      <c r="D6" s="43" t="n">
        <v>46308</v>
      </c>
      <c r="E6" s="43" t="n">
        <v>48134</v>
      </c>
      <c r="F6" s="44" t="n">
        <f aca="true">E6-TODAY()</f>
        <v>1844</v>
      </c>
      <c r="G6" s="5" t="str">
        <f aca="true">IF(F6&lt;0,"SCADUTA",IF(F6&lt;=270,"RINNOVARE ORA",IF(D6&gt;TODAY(),"IN VIGORE DAL "&amp;TEXT(D6,"dd/mm/yyyy"),"VALIDA")))</f>
        <v>IN VIGORE DAL 13/10/2026</v>
      </c>
      <c r="H6" s="5" t="s">
        <v>2065</v>
      </c>
      <c r="I6" s="5" t="s">
        <v>2070</v>
      </c>
      <c r="J6" s="5" t="s">
        <v>2071</v>
      </c>
    </row>
    <row r="7" customFormat="false" ht="22.35" hidden="false" customHeight="false" outlineLevel="0" collapsed="false">
      <c r="A7" s="42" t="s">
        <v>2072</v>
      </c>
      <c r="B7" s="5" t="s">
        <v>2073</v>
      </c>
      <c r="C7" s="5" t="s">
        <v>2074</v>
      </c>
      <c r="D7" s="43" t="n">
        <v>45673</v>
      </c>
      <c r="E7" s="43" t="n">
        <v>47499</v>
      </c>
      <c r="F7" s="44" t="n">
        <f aca="true">E7-TODAY()</f>
        <v>1209</v>
      </c>
      <c r="G7" s="5" t="str">
        <f aca="true">IF(F7&lt;0,"SCADUTA",IF(F7&lt;=270,"RINNOVARE ORA",IF(D7&gt;TODAY(),"IN VIGORE DAL "&amp;TEXT(D7,"dd/mm/yyyy"),"VALIDA")))</f>
        <v>VALIDA</v>
      </c>
      <c r="H7" s="5" t="s">
        <v>2065</v>
      </c>
      <c r="I7" s="5" t="s">
        <v>2075</v>
      </c>
      <c r="J7" s="5" t="s">
        <v>2076</v>
      </c>
    </row>
    <row r="8" customFormat="false" ht="32.8" hidden="false" customHeight="false" outlineLevel="0" collapsed="false">
      <c r="A8" s="42" t="s">
        <v>2077</v>
      </c>
      <c r="B8" s="5" t="s">
        <v>2078</v>
      </c>
      <c r="C8" s="5" t="s">
        <v>2079</v>
      </c>
      <c r="D8" s="43" t="n">
        <v>46308</v>
      </c>
      <c r="E8" s="43" t="n">
        <v>48134</v>
      </c>
      <c r="F8" s="44" t="n">
        <f aca="true">E8-TODAY()</f>
        <v>1844</v>
      </c>
      <c r="G8" s="5" t="str">
        <f aca="true">IF(F8&lt;0,"SCADUTA",IF(F8&lt;=270,"RINNOVARE ORA",IF(D8&gt;TODAY(),"IN VIGORE DAL "&amp;TEXT(D8,"dd/mm/yyyy"),"VALIDA")))</f>
        <v>IN VIGORE DAL 13/10/2026</v>
      </c>
      <c r="H8" s="5" t="s">
        <v>2080</v>
      </c>
      <c r="I8" s="5" t="s">
        <v>2081</v>
      </c>
      <c r="J8" s="5" t="s">
        <v>2082</v>
      </c>
    </row>
    <row r="9" customFormat="false" ht="22.35" hidden="false" customHeight="false" outlineLevel="0" collapsed="false">
      <c r="A9" s="42" t="s">
        <v>2083</v>
      </c>
      <c r="B9" s="5" t="s">
        <v>2084</v>
      </c>
      <c r="C9" s="5" t="s">
        <v>2085</v>
      </c>
      <c r="D9" s="43" t="n">
        <v>44665</v>
      </c>
      <c r="E9" s="43" t="n">
        <v>46491</v>
      </c>
      <c r="F9" s="44" t="n">
        <f aca="true">E9-TODAY()</f>
        <v>201</v>
      </c>
      <c r="G9" s="5" t="str">
        <f aca="true">IF(F9&lt;0,"SCADUTA",IF(F9&lt;=270,"RINNOVARE ORA",IF(D9&gt;TODAY(),"IN VIGORE DAL "&amp;TEXT(D9,"dd/mm/yyyy"),"VALIDA")))</f>
        <v>RINNOVARE ORA</v>
      </c>
      <c r="H9" s="5" t="s">
        <v>2086</v>
      </c>
      <c r="I9" s="5" t="s">
        <v>2087</v>
      </c>
      <c r="J9" s="5" t="s">
        <v>2088</v>
      </c>
    </row>
    <row r="10" customFormat="false" ht="22.35" hidden="false" customHeight="false" outlineLevel="0" collapsed="false">
      <c r="A10" s="42" t="s">
        <v>2089</v>
      </c>
      <c r="B10" s="5" t="s">
        <v>2078</v>
      </c>
      <c r="C10" s="5" t="s">
        <v>2090</v>
      </c>
      <c r="D10" s="43" t="n">
        <v>45673</v>
      </c>
      <c r="E10" s="43" t="n">
        <v>47499</v>
      </c>
      <c r="F10" s="44" t="n">
        <f aca="true">E10-TODAY()</f>
        <v>1209</v>
      </c>
      <c r="G10" s="5" t="str">
        <f aca="true">IF(F10&lt;0,"SCADUTA",IF(F10&lt;=270,"RINNOVARE ORA",IF(D10&gt;TODAY(),"IN VIGORE DAL "&amp;TEXT(D10,"dd/mm/yyyy"),"VALIDA")))</f>
        <v>VALIDA</v>
      </c>
      <c r="H10" s="5" t="s">
        <v>2065</v>
      </c>
      <c r="I10" s="5" t="s">
        <v>2091</v>
      </c>
      <c r="J10" s="5" t="s">
        <v>2092</v>
      </c>
    </row>
    <row r="11" customFormat="false" ht="22.35" hidden="false" customHeight="false" outlineLevel="0" collapsed="false">
      <c r="A11" s="42" t="s">
        <v>2093</v>
      </c>
      <c r="B11" s="5" t="s">
        <v>201</v>
      </c>
      <c r="C11" s="5" t="s">
        <v>2094</v>
      </c>
      <c r="D11" s="43" t="n">
        <v>44592</v>
      </c>
      <c r="E11" s="43" t="n">
        <v>48244</v>
      </c>
      <c r="F11" s="44" t="n">
        <f aca="true">E11-TODAY()</f>
        <v>1954</v>
      </c>
      <c r="G11" s="5" t="str">
        <f aca="true">IF(F11&lt;0,"SCADUTA",IF(F11&lt;=270,"RINNOVARE ORA",IF(D11&gt;TODAY(),"IN VIGORE DAL "&amp;TEXT(D11,"dd/mm/yyyy"),"VALIDA")))</f>
        <v>VALIDA</v>
      </c>
      <c r="H11" s="5" t="s">
        <v>201</v>
      </c>
      <c r="I11" s="5" t="s">
        <v>2095</v>
      </c>
      <c r="J11" s="5" t="s">
        <v>2096</v>
      </c>
    </row>
    <row r="13" customFormat="false" ht="15" hidden="false" customHeight="false" outlineLevel="0" collapsed="false">
      <c r="A13" s="45" t="s">
        <v>2097</v>
      </c>
      <c r="B13" s="45"/>
      <c r="C13" s="45"/>
      <c r="D13" s="45"/>
      <c r="E13" s="45"/>
      <c r="F13" s="45"/>
      <c r="G13" s="45"/>
      <c r="H13" s="45"/>
      <c r="I13" s="45"/>
      <c r="J13" s="45"/>
    </row>
    <row r="14" customFormat="false" ht="15" hidden="false" customHeight="false" outlineLevel="0" collapsed="false">
      <c r="A14" s="45" t="s">
        <v>2098</v>
      </c>
      <c r="B14" s="45"/>
      <c r="C14" s="45"/>
      <c r="D14" s="45"/>
      <c r="E14" s="45"/>
      <c r="F14" s="45"/>
      <c r="G14" s="45"/>
      <c r="H14" s="45"/>
      <c r="I14" s="45"/>
      <c r="J14" s="45"/>
    </row>
    <row r="15" customFormat="false" ht="15" hidden="false" customHeight="false" outlineLevel="0" collapsed="false">
      <c r="A15" s="46" t="s">
        <v>2099</v>
      </c>
      <c r="B15" s="46"/>
      <c r="C15" s="46"/>
      <c r="D15" s="46"/>
      <c r="E15" s="46"/>
      <c r="F15" s="46"/>
      <c r="G15" s="46"/>
      <c r="H15" s="46"/>
      <c r="I15" s="46"/>
      <c r="J15" s="46"/>
    </row>
    <row r="16" customFormat="false" ht="15" hidden="false" customHeight="false" outlineLevel="0" collapsed="false">
      <c r="A16" s="45" t="s">
        <v>2100</v>
      </c>
      <c r="B16" s="45"/>
      <c r="C16" s="45"/>
      <c r="D16" s="45"/>
      <c r="E16" s="45"/>
      <c r="F16" s="45"/>
      <c r="G16" s="45"/>
      <c r="H16" s="45"/>
      <c r="I16" s="45"/>
      <c r="J16" s="45"/>
    </row>
    <row r="17" customFormat="false" ht="15" hidden="false" customHeight="false" outlineLevel="0" collapsed="false">
      <c r="A17" s="45" t="s">
        <v>2101</v>
      </c>
      <c r="B17" s="45"/>
      <c r="C17" s="45"/>
      <c r="D17" s="45"/>
      <c r="E17" s="45"/>
      <c r="F17" s="45"/>
      <c r="G17" s="45"/>
      <c r="H17" s="45"/>
      <c r="I17" s="45"/>
      <c r="J17" s="45"/>
    </row>
  </sheetData>
  <mergeCells count="5">
    <mergeCell ref="A13:J13"/>
    <mergeCell ref="A14:J14"/>
    <mergeCell ref="A15:J15"/>
    <mergeCell ref="A16:J16"/>
    <mergeCell ref="A17:J17"/>
  </mergeCells>
  <conditionalFormatting sqref="G5:G11">
    <cfRule type="cellIs" priority="2" operator="equal" aboveAverage="0" equalAverage="0" bottom="0" percent="0" rank="0" text="" dxfId="5">
      <formula>"RINNOVARE ORA"</formula>
    </cfRule>
    <cfRule type="cellIs" priority="3" operator="equal" aboveAverage="0" equalAverage="0" bottom="0" percent="0" rank="0" text="" dxfId="6">
      <formula>"VALIDA"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2102</v>
      </c>
    </row>
    <row r="2" customFormat="false" ht="15" hidden="false" customHeight="false" outlineLevel="0" collapsed="false">
      <c r="A2" s="2" t="s">
        <v>2103</v>
      </c>
    </row>
    <row r="4" customFormat="false" ht="23.85" hidden="false" customHeight="false" outlineLevel="0" collapsed="false">
      <c r="A4" s="19" t="s">
        <v>2104</v>
      </c>
      <c r="B4" s="19" t="s">
        <v>2105</v>
      </c>
      <c r="C4" s="19" t="s">
        <v>2106</v>
      </c>
      <c r="D4" s="19" t="s">
        <v>2107</v>
      </c>
      <c r="E4" s="19" t="s">
        <v>2108</v>
      </c>
      <c r="F4" s="19" t="s">
        <v>226</v>
      </c>
    </row>
    <row r="5" customFormat="false" ht="32.8" hidden="false" customHeight="false" outlineLevel="0" collapsed="false">
      <c r="A5" s="4" t="s">
        <v>2109</v>
      </c>
      <c r="B5" s="5" t="s">
        <v>2110</v>
      </c>
      <c r="C5" s="5" t="s">
        <v>2111</v>
      </c>
      <c r="D5" s="5" t="s">
        <v>2112</v>
      </c>
      <c r="E5" s="47" t="n">
        <v>46491</v>
      </c>
      <c r="F5" s="41" t="s">
        <v>2113</v>
      </c>
    </row>
    <row r="6" customFormat="false" ht="32.8" hidden="false" customHeight="false" outlineLevel="0" collapsed="false">
      <c r="A6" s="4" t="s">
        <v>2114</v>
      </c>
      <c r="B6" s="5" t="s">
        <v>2115</v>
      </c>
      <c r="C6" s="5" t="s">
        <v>2116</v>
      </c>
      <c r="D6" s="5" t="s">
        <v>2117</v>
      </c>
      <c r="E6" s="47"/>
      <c r="F6" s="41"/>
    </row>
    <row r="7" customFormat="false" ht="15" hidden="false" customHeight="false" outlineLevel="0" collapsed="false">
      <c r="A7" s="4" t="s">
        <v>2118</v>
      </c>
      <c r="B7" s="5" t="s">
        <v>2119</v>
      </c>
      <c r="C7" s="5" t="s">
        <v>2120</v>
      </c>
      <c r="D7" s="5" t="s">
        <v>2121</v>
      </c>
      <c r="E7" s="47"/>
      <c r="F7" s="41"/>
    </row>
    <row r="8" customFormat="false" ht="22.35" hidden="false" customHeight="false" outlineLevel="0" collapsed="false">
      <c r="A8" s="4" t="s">
        <v>2122</v>
      </c>
      <c r="B8" s="5" t="s">
        <v>2123</v>
      </c>
      <c r="C8" s="5" t="s">
        <v>2124</v>
      </c>
      <c r="D8" s="5" t="s">
        <v>2125</v>
      </c>
      <c r="E8" s="47"/>
      <c r="F8" s="41"/>
    </row>
    <row r="9" customFormat="false" ht="22.35" hidden="false" customHeight="false" outlineLevel="0" collapsed="false">
      <c r="A9" s="4" t="s">
        <v>2126</v>
      </c>
      <c r="B9" s="5" t="s">
        <v>2127</v>
      </c>
      <c r="C9" s="5" t="s">
        <v>1923</v>
      </c>
      <c r="D9" s="5" t="s">
        <v>2128</v>
      </c>
      <c r="E9" s="47"/>
      <c r="F9" s="41"/>
    </row>
    <row r="10" customFormat="false" ht="22.35" hidden="false" customHeight="false" outlineLevel="0" collapsed="false">
      <c r="A10" s="4" t="s">
        <v>2129</v>
      </c>
      <c r="B10" s="5" t="s">
        <v>2130</v>
      </c>
      <c r="C10" s="5" t="s">
        <v>2131</v>
      </c>
      <c r="D10" s="5" t="s">
        <v>2132</v>
      </c>
      <c r="E10" s="47"/>
      <c r="F10" s="41"/>
    </row>
    <row r="11" customFormat="false" ht="22.35" hidden="false" customHeight="false" outlineLevel="0" collapsed="false">
      <c r="A11" s="4" t="s">
        <v>2133</v>
      </c>
      <c r="B11" s="5" t="s">
        <v>2134</v>
      </c>
      <c r="C11" s="5" t="s">
        <v>2135</v>
      </c>
      <c r="D11" s="5" t="s">
        <v>2136</v>
      </c>
      <c r="E11" s="47"/>
      <c r="F11" s="41"/>
    </row>
    <row r="12" customFormat="false" ht="22.35" hidden="false" customHeight="false" outlineLevel="0" collapsed="false">
      <c r="A12" s="4" t="s">
        <v>2137</v>
      </c>
      <c r="B12" s="5" t="s">
        <v>2138</v>
      </c>
      <c r="C12" s="5" t="s">
        <v>2139</v>
      </c>
      <c r="D12" s="5" t="s">
        <v>2140</v>
      </c>
      <c r="E12" s="47"/>
      <c r="F12" s="41"/>
    </row>
    <row r="13" customFormat="false" ht="15" hidden="false" customHeight="false" outlineLevel="0" collapsed="false">
      <c r="A13" s="4" t="s">
        <v>2141</v>
      </c>
      <c r="B13" s="5" t="s">
        <v>2142</v>
      </c>
      <c r="C13" s="5" t="s">
        <v>2143</v>
      </c>
      <c r="D13" s="5" t="s">
        <v>2144</v>
      </c>
      <c r="E13" s="47"/>
      <c r="F13" s="41"/>
    </row>
    <row r="14" customFormat="false" ht="32.8" hidden="false" customHeight="false" outlineLevel="0" collapsed="false">
      <c r="A14" s="4" t="s">
        <v>2145</v>
      </c>
      <c r="B14" s="5" t="s">
        <v>2146</v>
      </c>
      <c r="C14" s="5" t="s">
        <v>2147</v>
      </c>
      <c r="D14" s="5" t="s">
        <v>2148</v>
      </c>
      <c r="E14" s="47"/>
      <c r="F14" s="41"/>
    </row>
    <row r="15" customFormat="false" ht="15" hidden="false" customHeight="false" outlineLevel="0" collapsed="false">
      <c r="A15" s="4" t="s">
        <v>2149</v>
      </c>
      <c r="B15" s="5" t="s">
        <v>2150</v>
      </c>
      <c r="C15" s="5" t="s">
        <v>2151</v>
      </c>
      <c r="D15" s="5" t="s">
        <v>2152</v>
      </c>
      <c r="E15" s="47"/>
      <c r="F15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48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2153</v>
      </c>
    </row>
    <row r="2" customFormat="false" ht="15" hidden="false" customHeight="false" outlineLevel="0" collapsed="false">
      <c r="A2" s="2" t="s">
        <v>2154</v>
      </c>
    </row>
    <row r="4" customFormat="false" ht="15" hidden="false" customHeight="false" outlineLevel="0" collapsed="false">
      <c r="A4" s="19" t="s">
        <v>2155</v>
      </c>
      <c r="B4" s="19" t="s">
        <v>115</v>
      </c>
      <c r="C4" s="19" t="s">
        <v>2156</v>
      </c>
      <c r="D4" s="19" t="s">
        <v>2157</v>
      </c>
      <c r="E4" s="19" t="s">
        <v>2158</v>
      </c>
      <c r="F4" s="19" t="s">
        <v>2159</v>
      </c>
      <c r="G4" s="19" t="s">
        <v>2160</v>
      </c>
      <c r="H4" s="19" t="s">
        <v>2161</v>
      </c>
    </row>
    <row r="5" customFormat="false" ht="32.8" hidden="false" customHeight="false" outlineLevel="0" collapsed="false">
      <c r="A5" s="4" t="s">
        <v>2162</v>
      </c>
      <c r="B5" s="5" t="s">
        <v>116</v>
      </c>
      <c r="C5" s="5" t="s">
        <v>2163</v>
      </c>
      <c r="D5" s="5" t="s">
        <v>2164</v>
      </c>
      <c r="E5" s="5" t="s">
        <v>2165</v>
      </c>
      <c r="F5" s="5" t="s">
        <v>2166</v>
      </c>
      <c r="G5" s="41" t="s">
        <v>2167</v>
      </c>
      <c r="H5" s="5" t="s">
        <v>2168</v>
      </c>
    </row>
    <row r="6" customFormat="false" ht="32.8" hidden="false" customHeight="false" outlineLevel="0" collapsed="false">
      <c r="A6" s="4" t="s">
        <v>2169</v>
      </c>
      <c r="B6" s="5" t="s">
        <v>117</v>
      </c>
      <c r="C6" s="5" t="s">
        <v>2170</v>
      </c>
      <c r="D6" s="5" t="s">
        <v>2171</v>
      </c>
      <c r="E6" s="5" t="s">
        <v>2172</v>
      </c>
      <c r="F6" s="5" t="s">
        <v>2173</v>
      </c>
      <c r="G6" s="41" t="s">
        <v>2174</v>
      </c>
      <c r="H6" s="5" t="s">
        <v>2175</v>
      </c>
    </row>
    <row r="7" customFormat="false" ht="32.8" hidden="false" customHeight="false" outlineLevel="0" collapsed="false">
      <c r="A7" s="4" t="s">
        <v>2176</v>
      </c>
      <c r="B7" s="5" t="s">
        <v>2177</v>
      </c>
      <c r="C7" s="5" t="s">
        <v>2178</v>
      </c>
      <c r="D7" s="5" t="s">
        <v>2179</v>
      </c>
      <c r="E7" s="5" t="s">
        <v>2180</v>
      </c>
      <c r="F7" s="5" t="s">
        <v>2181</v>
      </c>
      <c r="G7" s="41" t="s">
        <v>2182</v>
      </c>
      <c r="H7" s="5" t="s">
        <v>2183</v>
      </c>
    </row>
    <row r="8" customFormat="false" ht="32.8" hidden="false" customHeight="false" outlineLevel="0" collapsed="false">
      <c r="A8" s="4" t="s">
        <v>2184</v>
      </c>
      <c r="B8" s="5" t="s">
        <v>2185</v>
      </c>
      <c r="C8" s="5" t="s">
        <v>2186</v>
      </c>
      <c r="D8" s="5" t="s">
        <v>2187</v>
      </c>
      <c r="E8" s="5" t="s">
        <v>2188</v>
      </c>
      <c r="F8" s="5" t="s">
        <v>2189</v>
      </c>
      <c r="G8" s="41" t="s">
        <v>2190</v>
      </c>
      <c r="H8" s="5" t="s">
        <v>2191</v>
      </c>
    </row>
    <row r="9" customFormat="false" ht="43.25" hidden="false" customHeight="false" outlineLevel="0" collapsed="false">
      <c r="A9" s="4" t="s">
        <v>2192</v>
      </c>
      <c r="B9" s="5" t="s">
        <v>2193</v>
      </c>
      <c r="C9" s="5" t="s">
        <v>2194</v>
      </c>
      <c r="D9" s="5" t="s">
        <v>2195</v>
      </c>
      <c r="E9" s="5" t="s">
        <v>2196</v>
      </c>
      <c r="F9" s="5" t="s">
        <v>2197</v>
      </c>
      <c r="G9" s="41" t="s">
        <v>2198</v>
      </c>
      <c r="H9" s="5" t="s">
        <v>2199</v>
      </c>
    </row>
    <row r="10" customFormat="false" ht="22.35" hidden="false" customHeight="false" outlineLevel="0" collapsed="false">
      <c r="A10" s="4" t="s">
        <v>2200</v>
      </c>
      <c r="B10" s="5" t="s">
        <v>121</v>
      </c>
      <c r="C10" s="5" t="s">
        <v>2201</v>
      </c>
      <c r="D10" s="5" t="s">
        <v>2202</v>
      </c>
      <c r="E10" s="5" t="s">
        <v>2203</v>
      </c>
      <c r="F10" s="5" t="s">
        <v>2204</v>
      </c>
      <c r="G10" s="41" t="s">
        <v>2205</v>
      </c>
      <c r="H10" s="5" t="s">
        <v>2206</v>
      </c>
    </row>
    <row r="11" customFormat="false" ht="32.8" hidden="false" customHeight="false" outlineLevel="0" collapsed="false">
      <c r="A11" s="4" t="s">
        <v>77</v>
      </c>
      <c r="B11" s="5" t="s">
        <v>122</v>
      </c>
      <c r="C11" s="5" t="s">
        <v>2207</v>
      </c>
      <c r="D11" s="5" t="s">
        <v>2208</v>
      </c>
      <c r="E11" s="5" t="s">
        <v>2209</v>
      </c>
      <c r="F11" s="5" t="s">
        <v>2210</v>
      </c>
      <c r="G11" s="41" t="s">
        <v>2211</v>
      </c>
      <c r="H11" s="5" t="s">
        <v>2212</v>
      </c>
    </row>
    <row r="12" customFormat="false" ht="22.35" hidden="false" customHeight="false" outlineLevel="0" collapsed="false">
      <c r="A12" s="4" t="s">
        <v>2213</v>
      </c>
      <c r="B12" s="5" t="s">
        <v>2214</v>
      </c>
      <c r="C12" s="5" t="s">
        <v>2215</v>
      </c>
      <c r="D12" s="5" t="s">
        <v>2216</v>
      </c>
      <c r="E12" s="5" t="s">
        <v>2217</v>
      </c>
      <c r="F12" s="5" t="s">
        <v>2218</v>
      </c>
      <c r="G12" s="41" t="s">
        <v>2219</v>
      </c>
      <c r="H12" s="5" t="s">
        <v>2220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2221</v>
      </c>
    </row>
    <row r="2" customFormat="false" ht="15" hidden="false" customHeight="false" outlineLevel="0" collapsed="false">
      <c r="A2" s="2" t="s">
        <v>2222</v>
      </c>
    </row>
    <row r="4" customFormat="false" ht="15" hidden="false" customHeight="false" outlineLevel="0" collapsed="false">
      <c r="A4" s="19" t="s">
        <v>152</v>
      </c>
      <c r="B4" s="19" t="s">
        <v>2223</v>
      </c>
    </row>
    <row r="5" customFormat="false" ht="15" hidden="false" customHeight="false" outlineLevel="0" collapsed="false">
      <c r="A5" s="12" t="s">
        <v>155</v>
      </c>
      <c r="B5" s="12" t="s">
        <v>2224</v>
      </c>
    </row>
    <row r="6" customFormat="false" ht="15" hidden="false" customHeight="false" outlineLevel="0" collapsed="false">
      <c r="A6" s="12" t="s">
        <v>156</v>
      </c>
      <c r="B6" s="12" t="s">
        <v>2225</v>
      </c>
    </row>
    <row r="7" customFormat="false" ht="15" hidden="false" customHeight="false" outlineLevel="0" collapsed="false">
      <c r="A7" s="12" t="s">
        <v>157</v>
      </c>
      <c r="B7" s="12" t="s">
        <v>2226</v>
      </c>
    </row>
    <row r="8" customFormat="false" ht="15" hidden="false" customHeight="false" outlineLevel="0" collapsed="false">
      <c r="A8" s="12" t="s">
        <v>158</v>
      </c>
      <c r="B8" s="12" t="s">
        <v>2227</v>
      </c>
    </row>
    <row r="9" customFormat="false" ht="15" hidden="false" customHeight="false" outlineLevel="0" collapsed="false">
      <c r="A9" s="12" t="s">
        <v>159</v>
      </c>
      <c r="B9" s="12" t="s">
        <v>2228</v>
      </c>
    </row>
    <row r="10" customFormat="false" ht="15" hidden="false" customHeight="false" outlineLevel="0" collapsed="false">
      <c r="A10" s="12" t="s">
        <v>160</v>
      </c>
      <c r="B10" s="12" t="s">
        <v>2229</v>
      </c>
    </row>
    <row r="11" customFormat="false" ht="15" hidden="false" customHeight="false" outlineLevel="0" collapsed="false">
      <c r="A11" s="12" t="s">
        <v>161</v>
      </c>
      <c r="B11" s="12" t="s">
        <v>2230</v>
      </c>
    </row>
    <row r="12" customFormat="false" ht="15" hidden="false" customHeight="false" outlineLevel="0" collapsed="false">
      <c r="A12" s="12" t="s">
        <v>162</v>
      </c>
      <c r="B12" s="12" t="s">
        <v>2231</v>
      </c>
    </row>
    <row r="13" customFormat="false" ht="15" hidden="false" customHeight="false" outlineLevel="0" collapsed="false">
      <c r="A13" s="12" t="s">
        <v>163</v>
      </c>
      <c r="B13" s="12" t="s">
        <v>2232</v>
      </c>
    </row>
    <row r="14" customFormat="false" ht="15" hidden="false" customHeight="false" outlineLevel="0" collapsed="false">
      <c r="A14" s="12" t="s">
        <v>164</v>
      </c>
      <c r="B14" s="12" t="s">
        <v>2233</v>
      </c>
    </row>
    <row r="15" customFormat="false" ht="15" hidden="false" customHeight="false" outlineLevel="0" collapsed="false">
      <c r="A15" s="12" t="s">
        <v>165</v>
      </c>
      <c r="B15" s="12" t="s">
        <v>2234</v>
      </c>
    </row>
    <row r="16" customFormat="false" ht="15" hidden="false" customHeight="false" outlineLevel="0" collapsed="false">
      <c r="A16" s="12" t="s">
        <v>166</v>
      </c>
      <c r="B1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58</v>
      </c>
      <c r="B1" s="0" t="s">
        <v>116</v>
      </c>
      <c r="C1" s="0" t="s">
        <v>72</v>
      </c>
      <c r="D1" s="0" t="s">
        <v>2235</v>
      </c>
      <c r="E1" s="0" t="s">
        <v>107</v>
      </c>
    </row>
    <row r="2" customFormat="false" ht="15" hidden="false" customHeight="false" outlineLevel="0" collapsed="false">
      <c r="A2" s="0" t="s">
        <v>59</v>
      </c>
      <c r="B2" s="0" t="s">
        <v>117</v>
      </c>
      <c r="C2" s="0" t="s">
        <v>73</v>
      </c>
      <c r="D2" s="0" t="s">
        <v>2236</v>
      </c>
      <c r="E2" s="0" t="s">
        <v>108</v>
      </c>
    </row>
    <row r="3" customFormat="false" ht="15" hidden="false" customHeight="false" outlineLevel="0" collapsed="false">
      <c r="A3" s="0" t="s">
        <v>60</v>
      </c>
      <c r="B3" s="0" t="s">
        <v>118</v>
      </c>
      <c r="C3" s="0" t="s">
        <v>74</v>
      </c>
      <c r="D3" s="0" t="s">
        <v>1870</v>
      </c>
      <c r="E3" s="0" t="s">
        <v>109</v>
      </c>
    </row>
    <row r="4" customFormat="false" ht="15" hidden="false" customHeight="false" outlineLevel="0" collapsed="false">
      <c r="A4" s="0" t="s">
        <v>61</v>
      </c>
      <c r="B4" s="0" t="s">
        <v>119</v>
      </c>
      <c r="C4" s="0" t="s">
        <v>75</v>
      </c>
      <c r="D4" s="0" t="s">
        <v>1336</v>
      </c>
      <c r="E4" s="0" t="s">
        <v>110</v>
      </c>
    </row>
    <row r="5" customFormat="false" ht="15" hidden="false" customHeight="false" outlineLevel="0" collapsed="false">
      <c r="A5" s="0" t="s">
        <v>62</v>
      </c>
      <c r="B5" s="0" t="s">
        <v>120</v>
      </c>
      <c r="C5" s="0" t="s">
        <v>76</v>
      </c>
      <c r="D5" s="0" t="s">
        <v>1358</v>
      </c>
      <c r="E5" s="0" t="s">
        <v>111</v>
      </c>
    </row>
    <row r="6" customFormat="false" ht="15" hidden="false" customHeight="false" outlineLevel="0" collapsed="false">
      <c r="A6" s="0" t="s">
        <v>63</v>
      </c>
      <c r="B6" s="0" t="s">
        <v>121</v>
      </c>
      <c r="C6" s="0" t="s">
        <v>77</v>
      </c>
      <c r="E6" s="0" t="s">
        <v>112</v>
      </c>
    </row>
    <row r="7" customFormat="false" ht="15" hidden="false" customHeight="false" outlineLevel="0" collapsed="false">
      <c r="A7" s="0" t="s">
        <v>64</v>
      </c>
      <c r="B7" s="0" t="s">
        <v>122</v>
      </c>
      <c r="C7" s="0" t="s">
        <v>78</v>
      </c>
      <c r="E7" s="0" t="s">
        <v>113</v>
      </c>
    </row>
    <row r="8" customFormat="false" ht="15" hidden="false" customHeight="false" outlineLevel="0" collapsed="false">
      <c r="A8" s="0" t="s">
        <v>65</v>
      </c>
      <c r="B8" s="0" t="s">
        <v>68</v>
      </c>
      <c r="C8" s="0" t="s">
        <v>79</v>
      </c>
      <c r="E8" s="0" t="s">
        <v>68</v>
      </c>
    </row>
    <row r="9" customFormat="false" ht="15" hidden="false" customHeight="false" outlineLevel="0" collapsed="false">
      <c r="A9" s="0" t="s">
        <v>66</v>
      </c>
    </row>
    <row r="10" customFormat="false" ht="15" hidden="false" customHeight="false" outlineLevel="0" collapsed="false">
      <c r="A10" s="0" t="s">
        <v>67</v>
      </c>
    </row>
    <row r="11" customFormat="false" ht="15" hidden="false" customHeight="false" outlineLevel="0" collapsed="false">
      <c r="A11" s="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2026-09-25T13:43:15Z</dcterms:created>
  <dc:creator>openpyxl</dc:creator>
  <dc:description/>
  <dc:language>en-US</dc:language>
  <cp:lastModifiedBy/>
  <dcterms:modified xsi:type="dcterms:W3CDTF">2026-09-25T13:43:16Z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